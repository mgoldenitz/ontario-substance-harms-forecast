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s" sheetId="1" state="visible" r:id="rId3"/>
    <sheet name="Data" sheetId="2" state="visible" r:id="rId4"/>
    <sheet name="Holdout" sheetId="3" state="visible" r:id="rId5"/>
    <sheet name="Foreca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Source: Health Infobase SubstanceHarmsData.csv, Region = Ontario, Specific_Measure = Overall numbers, Time_Period = By quarter, Unit = Number.</t>
        </r>
      </text>
    </comment>
  </commentList>
</comments>
</file>

<file path=xl/sharedStrings.xml><?xml version="1.0" encoding="utf-8"?>
<sst xmlns="http://schemas.openxmlformats.org/spreadsheetml/2006/main" count="184" uniqueCount="75">
  <si>
    <t xml:space="preserve">Ontario substance harms forecast: Excel version</t>
  </si>
  <si>
    <t xml:space="preserve">Source: Public Health Agency of Canada, Opioid- and stimulant-related harms in Canada, Health Infobase, SubstanceHarmsData.csv, downloaded 25 October 2026. Open Government Licence - Canada.</t>
  </si>
  <si>
    <t xml:space="preserve">Data: Ontario quarterly counts (overall numbers). Opioid deaths and both hospitalization series run from Q1 2016 to Q1 2026; stimulant deaths start in Q1 2018.</t>
  </si>
  <si>
    <t xml:space="preserve">Holdout: FORECAST.ETS is fit on quarters up to Q3 2024 and compared with the actual counts for Q4 2024 to Q1 2026. A seasonal naive forecast (the same quarter of the last training year) is the baseline.</t>
  </si>
  <si>
    <t xml:space="preserve">Forecast: FORECAST.ETS is fit on every quarter and projects Q2 2026 to Q2 2027 with 80% and 95% intervals from FORECAST.ETS.CONFINT. Seasonality is set to 4 (quarterly).</t>
  </si>
  <si>
    <t xml:space="preserve">Colours: blue numbers on the Data sheet are values typed in from the source file; black cells are formulas; green cells pull from another sheet.</t>
  </si>
  <si>
    <t xml:space="preserve">Excel's ETS is a different model from the Python ARIMA, so the numbers will not match the Python results exactly.</t>
  </si>
  <si>
    <t xml:space="preserve">Quarter</t>
  </si>
  <si>
    <t xml:space="preserve">Quarter start</t>
  </si>
  <si>
    <t xml:space="preserve">Opioid deaths</t>
  </si>
  <si>
    <t xml:space="preserve">Stimulant deaths</t>
  </si>
  <si>
    <t xml:space="preserve">Opioid hospitalizations</t>
  </si>
  <si>
    <t xml:space="preserve">Stimulant hospitalizations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</si>
  <si>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</si>
  <si>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</si>
  <si>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</si>
  <si>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</si>
  <si>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</si>
  <si>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</si>
  <si>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</si>
  <si>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</si>
  <si>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</si>
  <si>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</si>
  <si>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</si>
  <si>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</si>
  <si>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</si>
  <si>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</si>
  <si>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</si>
  <si>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</si>
  <si>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</si>
  <si>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</si>
  <si>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</si>
  <si>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</si>
  <si>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</si>
  <si>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</si>
  <si>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</si>
  <si>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</si>
  <si>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</si>
  <si>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</si>
  <si>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</si>
  <si>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</si>
  <si>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</si>
  <si>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</si>
  <si>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</si>
  <si>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</si>
  <si>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</si>
  <si>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</si>
  <si>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</si>
  <si>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</si>
  <si>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</si>
  <si>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</si>
  <si>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</si>
  <si>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</si>
  <si>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</si>
  <si>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Holdout test: fit to Q3 2024, test Q4 2024 to Q1 2026</t>
  </si>
  <si>
    <t xml:space="preserve">Actual</t>
  </si>
  <si>
    <t xml:space="preserve">ETS forecast</t>
  </si>
  <si>
    <t xml:space="preserve">95% low</t>
  </si>
  <si>
    <t xml:space="preserve">95% high</t>
  </si>
  <si>
    <t xml:space="preserve">Seasonal naive</t>
  </si>
  <si>
    <t xml:space="preserve">ETS abs error</t>
  </si>
  <si>
    <t xml:space="preserve">ETS abs % error</t>
  </si>
  <si>
    <t xml:space="preserve">Naive abs error</t>
  </si>
  <si>
    <t xml:space="preserve">Naive abs % error</t>
  </si>
  <si>
    <t xml:space="preserve">MAE / MAPE</t>
  </si>
  <si>
    <t xml:space="preserve">Inside 95%:</t>
  </si>
  <si>
    <t xml:space="preserve">Forecast Q2 2026 to Q2 2027, fit on all quarters</t>
  </si>
  <si>
    <t xml:space="preserve">Forecast</t>
  </si>
  <si>
    <t xml:space="preserve">80% low</t>
  </si>
  <si>
    <t xml:space="preserve">80% high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</si>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</sst>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"/>
    <numFmt numFmtId="167" formatCode="0.0%"/>
    <numFmt numFmtId="168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23.85" hidden="false" customHeight="false" outlineLevel="0" collapsed="false">
      <c r="A3" s="2" t="s">
        <v>2</v>
      </c>
    </row>
    <row r="4" customFormat="false" ht="23.85" hidden="false" customHeight="false" outlineLevel="0" collapsed="false">
      <c r="A4" s="2" t="s">
        <v>3</v>
      </c>
    </row>
    <row r="5" customFormat="false" ht="23.85" hidden="false" customHeight="false" outlineLevel="0" collapsed="false">
      <c r="A5" s="2" t="s">
        <v>4</v>
      </c>
    </row>
    <row r="6" customFormat="false" ht="23.85" hidden="false" customHeight="false" outlineLevel="0" collapsed="false">
      <c r="A6" s="2" t="s">
        <v>5</v>
      </c>
    </row>
    <row r="7" customFormat="false" ht="15" hidden="false" customHeight="false" outlineLevel="0" collapsed="false">
      <c r="A7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3"/>
    <col collapsed="false" customWidth="true" hidden="false" outlineLevel="0" max="6" min="5" style="0" width="15"/>
  </cols>
  <sheetData>
    <row r="1" customFormat="false" ht="30" hidden="false" customHeight="true" outlineLevel="0" collapsed="false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</row>
    <row r="2" customFormat="false" ht="15" hidden="false" customHeight="false" outlineLevel="0" collapsed="false">
      <c r="A2" s="4" t="s">
        <v>13</v>
      </c>
      <c r="B2" s="5" t="n">
        <f aca="false">DATE(2016,1,1)</f>
        <v>42370</v>
      </c>
      <c r="C2" s="6" t="n">
        <v>214</v>
      </c>
      <c r="E2" s="6" t="n">
        <v>374</v>
      </c>
      <c r="F2" s="6" t="n">
        <v>137</v>
      </c>
    </row>
    <row r="3" customFormat="false" ht="15" hidden="false" customHeight="false" outlineLevel="0" collapsed="false">
      <c r="A3" s="4" t="s">
        <v>14</v>
      </c>
      <c r="B3" s="5" t="n">
        <f aca="false">DATE(2016,4,1)</f>
        <v>42461</v>
      </c>
      <c r="C3" s="6" t="n">
        <v>218</v>
      </c>
      <c r="E3" s="6" t="n">
        <v>485</v>
      </c>
      <c r="F3" s="6" t="n">
        <v>204</v>
      </c>
    </row>
    <row r="4" customFormat="false" ht="15" hidden="false" customHeight="false" outlineLevel="0" collapsed="false">
      <c r="A4" s="4" t="s">
        <v>15</v>
      </c>
      <c r="B4" s="5" t="n">
        <f aca="false">DATE(2016,7,1)</f>
        <v>42552</v>
      </c>
      <c r="C4" s="6" t="n">
        <v>195</v>
      </c>
      <c r="E4" s="6" t="n">
        <v>442</v>
      </c>
      <c r="F4" s="6" t="n">
        <v>201</v>
      </c>
    </row>
    <row r="5" customFormat="false" ht="15" hidden="false" customHeight="false" outlineLevel="0" collapsed="false">
      <c r="A5" s="4" t="s">
        <v>16</v>
      </c>
      <c r="B5" s="5" t="n">
        <f aca="false">DATE(2016,10,1)</f>
        <v>42644</v>
      </c>
      <c r="C5" s="6" t="n">
        <v>240</v>
      </c>
      <c r="E5" s="6" t="n">
        <v>497</v>
      </c>
      <c r="F5" s="6" t="n">
        <v>176</v>
      </c>
    </row>
    <row r="6" customFormat="false" ht="15" hidden="false" customHeight="false" outlineLevel="0" collapsed="false">
      <c r="A6" s="4" t="s">
        <v>17</v>
      </c>
      <c r="B6" s="5" t="n">
        <f aca="false">DATE(2017,1,1)</f>
        <v>42736</v>
      </c>
      <c r="C6" s="6" t="n">
        <v>238</v>
      </c>
      <c r="E6" s="6" t="n">
        <v>472</v>
      </c>
      <c r="F6" s="6" t="n">
        <v>186</v>
      </c>
    </row>
    <row r="7" customFormat="false" ht="15" hidden="false" customHeight="false" outlineLevel="0" collapsed="false">
      <c r="A7" s="4" t="s">
        <v>18</v>
      </c>
      <c r="B7" s="5" t="n">
        <f aca="false">DATE(2017,4,1)</f>
        <v>42826</v>
      </c>
      <c r="C7" s="6" t="n">
        <v>311</v>
      </c>
      <c r="E7" s="6" t="n">
        <v>523</v>
      </c>
      <c r="F7" s="6" t="n">
        <v>242</v>
      </c>
    </row>
    <row r="8" customFormat="false" ht="15" hidden="false" customHeight="false" outlineLevel="0" collapsed="false">
      <c r="A8" s="4" t="s">
        <v>19</v>
      </c>
      <c r="B8" s="5" t="n">
        <f aca="false">DATE(2017,7,1)</f>
        <v>42917</v>
      </c>
      <c r="C8" s="6" t="n">
        <v>414</v>
      </c>
      <c r="E8" s="6" t="n">
        <v>562</v>
      </c>
      <c r="F8" s="6" t="n">
        <v>243</v>
      </c>
    </row>
    <row r="9" customFormat="false" ht="15" hidden="false" customHeight="false" outlineLevel="0" collapsed="false">
      <c r="A9" s="4" t="s">
        <v>20</v>
      </c>
      <c r="B9" s="5" t="n">
        <f aca="false">DATE(2017,10,1)</f>
        <v>43009</v>
      </c>
      <c r="C9" s="6" t="n">
        <v>302</v>
      </c>
      <c r="E9" s="6" t="n">
        <v>506</v>
      </c>
      <c r="F9" s="6" t="n">
        <v>234</v>
      </c>
    </row>
    <row r="10" customFormat="false" ht="15" hidden="false" customHeight="false" outlineLevel="0" collapsed="false">
      <c r="A10" s="4" t="s">
        <v>21</v>
      </c>
      <c r="B10" s="5" t="n">
        <f aca="false">DATE(2018,1,1)</f>
        <v>43101</v>
      </c>
      <c r="C10" s="6" t="n">
        <v>318</v>
      </c>
      <c r="D10" s="6" t="n">
        <v>180</v>
      </c>
      <c r="E10" s="6" t="n">
        <v>466</v>
      </c>
      <c r="F10" s="6" t="n">
        <v>250</v>
      </c>
    </row>
    <row r="11" customFormat="false" ht="15" hidden="false" customHeight="false" outlineLevel="0" collapsed="false">
      <c r="A11" s="4" t="s">
        <v>22</v>
      </c>
      <c r="B11" s="5" t="n">
        <f aca="false">DATE(2018,4,1)</f>
        <v>43191</v>
      </c>
      <c r="C11" s="6" t="n">
        <v>336</v>
      </c>
      <c r="D11" s="6" t="n">
        <v>223</v>
      </c>
      <c r="E11" s="6" t="n">
        <v>562</v>
      </c>
      <c r="F11" s="6" t="n">
        <v>301</v>
      </c>
    </row>
    <row r="12" customFormat="false" ht="15" hidden="false" customHeight="false" outlineLevel="0" collapsed="false">
      <c r="A12" s="4" t="s">
        <v>23</v>
      </c>
      <c r="B12" s="5" t="n">
        <f aca="false">DATE(2018,7,1)</f>
        <v>43282</v>
      </c>
      <c r="C12" s="6" t="n">
        <v>402</v>
      </c>
      <c r="D12" s="6" t="n">
        <v>254</v>
      </c>
      <c r="E12" s="6" t="n">
        <v>513</v>
      </c>
      <c r="F12" s="6" t="n">
        <v>298</v>
      </c>
    </row>
    <row r="13" customFormat="false" ht="15" hidden="false" customHeight="false" outlineLevel="0" collapsed="false">
      <c r="A13" s="4" t="s">
        <v>24</v>
      </c>
      <c r="B13" s="5" t="n">
        <f aca="false">DATE(2018,10,1)</f>
        <v>43374</v>
      </c>
      <c r="C13" s="6" t="n">
        <v>457</v>
      </c>
      <c r="D13" s="6" t="n">
        <v>292</v>
      </c>
      <c r="E13" s="6" t="n">
        <v>525</v>
      </c>
      <c r="F13" s="6" t="n">
        <v>253</v>
      </c>
    </row>
    <row r="14" customFormat="false" ht="15" hidden="false" customHeight="false" outlineLevel="0" collapsed="false">
      <c r="A14" s="4" t="s">
        <v>25</v>
      </c>
      <c r="B14" s="5" t="n">
        <f aca="false">DATE(2019,1,1)</f>
        <v>43466</v>
      </c>
      <c r="C14" s="6" t="n">
        <v>457</v>
      </c>
      <c r="D14" s="6" t="n">
        <v>293</v>
      </c>
      <c r="E14" s="6" t="n">
        <v>507</v>
      </c>
      <c r="F14" s="6" t="n">
        <v>237</v>
      </c>
    </row>
    <row r="15" customFormat="false" ht="15" hidden="false" customHeight="false" outlineLevel="0" collapsed="false">
      <c r="A15" s="4" t="s">
        <v>26</v>
      </c>
      <c r="B15" s="5" t="n">
        <f aca="false">DATE(2019,4,1)</f>
        <v>43556</v>
      </c>
      <c r="C15" s="6" t="n">
        <v>481</v>
      </c>
      <c r="D15" s="6" t="n">
        <v>302</v>
      </c>
      <c r="E15" s="6" t="n">
        <v>571</v>
      </c>
      <c r="F15" s="6" t="n">
        <v>293</v>
      </c>
    </row>
    <row r="16" customFormat="false" ht="15" hidden="false" customHeight="false" outlineLevel="0" collapsed="false">
      <c r="A16" s="4" t="s">
        <v>27</v>
      </c>
      <c r="B16" s="5" t="n">
        <f aca="false">DATE(2019,7,1)</f>
        <v>43647</v>
      </c>
      <c r="C16" s="6" t="n">
        <v>250</v>
      </c>
      <c r="D16" s="6" t="n">
        <v>174</v>
      </c>
      <c r="E16" s="6" t="n">
        <v>451</v>
      </c>
      <c r="F16" s="6" t="n">
        <v>220</v>
      </c>
    </row>
    <row r="17" customFormat="false" ht="15" hidden="false" customHeight="false" outlineLevel="0" collapsed="false">
      <c r="A17" s="4" t="s">
        <v>28</v>
      </c>
      <c r="B17" s="5" t="n">
        <f aca="false">DATE(2019,10,1)</f>
        <v>43739</v>
      </c>
      <c r="C17" s="6" t="n">
        <v>377</v>
      </c>
      <c r="D17" s="6" t="n">
        <v>282</v>
      </c>
      <c r="E17" s="6" t="n">
        <v>436</v>
      </c>
      <c r="F17" s="6" t="n">
        <v>221</v>
      </c>
    </row>
    <row r="18" customFormat="false" ht="15" hidden="false" customHeight="false" outlineLevel="0" collapsed="false">
      <c r="A18" s="4" t="s">
        <v>29</v>
      </c>
      <c r="B18" s="5" t="n">
        <f aca="false">DATE(2020,1,1)</f>
        <v>43831</v>
      </c>
      <c r="C18" s="6" t="n">
        <v>474</v>
      </c>
      <c r="D18" s="6" t="n">
        <v>314</v>
      </c>
      <c r="E18" s="6" t="n">
        <v>453</v>
      </c>
      <c r="F18" s="6" t="n">
        <v>241</v>
      </c>
    </row>
    <row r="19" customFormat="false" ht="15" hidden="false" customHeight="false" outlineLevel="0" collapsed="false">
      <c r="A19" s="4" t="s">
        <v>30</v>
      </c>
      <c r="B19" s="5" t="n">
        <f aca="false">DATE(2020,4,1)</f>
        <v>43922</v>
      </c>
      <c r="C19" s="6" t="n">
        <v>631</v>
      </c>
      <c r="D19" s="6" t="n">
        <v>488</v>
      </c>
      <c r="E19" s="6" t="n">
        <v>513</v>
      </c>
      <c r="F19" s="6" t="n">
        <v>331</v>
      </c>
    </row>
    <row r="20" customFormat="false" ht="15" hidden="false" customHeight="false" outlineLevel="0" collapsed="false">
      <c r="A20" s="4" t="s">
        <v>31</v>
      </c>
      <c r="B20" s="5" t="n">
        <f aca="false">DATE(2020,7,1)</f>
        <v>44013</v>
      </c>
      <c r="C20" s="6" t="n">
        <v>646</v>
      </c>
      <c r="D20" s="6" t="n">
        <v>461</v>
      </c>
      <c r="E20" s="6" t="n">
        <v>532</v>
      </c>
      <c r="F20" s="6" t="n">
        <v>259</v>
      </c>
    </row>
    <row r="21" customFormat="false" ht="15" hidden="false" customHeight="false" outlineLevel="0" collapsed="false">
      <c r="A21" s="4" t="s">
        <v>32</v>
      </c>
      <c r="B21" s="5" t="n">
        <f aca="false">DATE(2020,10,1)</f>
        <v>44105</v>
      </c>
      <c r="C21" s="6" t="n">
        <v>733</v>
      </c>
      <c r="D21" s="6" t="n">
        <v>510</v>
      </c>
      <c r="E21" s="6" t="n">
        <v>520</v>
      </c>
      <c r="F21" s="6" t="n">
        <v>271</v>
      </c>
    </row>
    <row r="22" customFormat="false" ht="15" hidden="false" customHeight="false" outlineLevel="0" collapsed="false">
      <c r="A22" s="4" t="s">
        <v>33</v>
      </c>
      <c r="B22" s="5" t="n">
        <f aca="false">DATE(2021,1,1)</f>
        <v>44197</v>
      </c>
      <c r="C22" s="6" t="n">
        <v>745</v>
      </c>
      <c r="D22" s="6" t="n">
        <v>541</v>
      </c>
      <c r="E22" s="6" t="n">
        <v>584</v>
      </c>
      <c r="F22" s="6" t="n">
        <v>225</v>
      </c>
    </row>
    <row r="23" customFormat="false" ht="15" hidden="false" customHeight="false" outlineLevel="0" collapsed="false">
      <c r="A23" s="4" t="s">
        <v>34</v>
      </c>
      <c r="B23" s="5" t="n">
        <f aca="false">DATE(2021,4,1)</f>
        <v>44287</v>
      </c>
      <c r="C23" s="6" t="n">
        <v>737</v>
      </c>
      <c r="D23" s="6" t="n">
        <v>507</v>
      </c>
      <c r="E23" s="6" t="n">
        <v>606</v>
      </c>
      <c r="F23" s="6" t="n">
        <v>260</v>
      </c>
    </row>
    <row r="24" customFormat="false" ht="15" hidden="false" customHeight="false" outlineLevel="0" collapsed="false">
      <c r="A24" s="4" t="s">
        <v>35</v>
      </c>
      <c r="B24" s="5" t="n">
        <f aca="false">DATE(2021,7,1)</f>
        <v>44378</v>
      </c>
      <c r="C24" s="6" t="n">
        <v>688</v>
      </c>
      <c r="D24" s="6" t="n">
        <v>553</v>
      </c>
      <c r="E24" s="6" t="n">
        <v>619</v>
      </c>
      <c r="F24" s="6" t="n">
        <v>261</v>
      </c>
    </row>
    <row r="25" customFormat="false" ht="15" hidden="false" customHeight="false" outlineLevel="0" collapsed="false">
      <c r="A25" s="4" t="s">
        <v>36</v>
      </c>
      <c r="B25" s="5" t="n">
        <f aca="false">DATE(2021,10,1)</f>
        <v>44470</v>
      </c>
      <c r="C25" s="6" t="n">
        <v>710</v>
      </c>
      <c r="D25" s="6" t="n">
        <v>545</v>
      </c>
      <c r="E25" s="6" t="n">
        <v>610</v>
      </c>
      <c r="F25" s="6" t="n">
        <v>249</v>
      </c>
    </row>
    <row r="26" customFormat="false" ht="15" hidden="false" customHeight="false" outlineLevel="0" collapsed="false">
      <c r="A26" s="4" t="s">
        <v>37</v>
      </c>
      <c r="B26" s="5" t="n">
        <f aca="false">DATE(2022,1,1)</f>
        <v>44562</v>
      </c>
      <c r="C26" s="6" t="n">
        <v>645</v>
      </c>
      <c r="D26" s="6" t="n">
        <v>493</v>
      </c>
      <c r="E26" s="6" t="n">
        <v>484</v>
      </c>
      <c r="F26" s="6" t="n">
        <v>216</v>
      </c>
    </row>
    <row r="27" customFormat="false" ht="15" hidden="false" customHeight="false" outlineLevel="0" collapsed="false">
      <c r="A27" s="4" t="s">
        <v>38</v>
      </c>
      <c r="B27" s="5" t="n">
        <f aca="false">DATE(2022,4,1)</f>
        <v>44652</v>
      </c>
      <c r="C27" s="6" t="n">
        <v>594</v>
      </c>
      <c r="D27" s="6" t="n">
        <v>480</v>
      </c>
      <c r="E27" s="6" t="n">
        <v>492</v>
      </c>
      <c r="F27" s="6" t="n">
        <v>202</v>
      </c>
    </row>
    <row r="28" customFormat="false" ht="15" hidden="false" customHeight="false" outlineLevel="0" collapsed="false">
      <c r="A28" s="4" t="s">
        <v>39</v>
      </c>
      <c r="B28" s="5" t="n">
        <f aca="false">DATE(2022,7,1)</f>
        <v>44743</v>
      </c>
      <c r="C28" s="6" t="n">
        <v>619</v>
      </c>
      <c r="D28" s="6" t="n">
        <v>483</v>
      </c>
      <c r="E28" s="6" t="n">
        <v>523</v>
      </c>
      <c r="F28" s="6" t="n">
        <v>232</v>
      </c>
    </row>
    <row r="29" customFormat="false" ht="15" hidden="false" customHeight="false" outlineLevel="0" collapsed="false">
      <c r="A29" s="4" t="s">
        <v>40</v>
      </c>
      <c r="B29" s="5" t="n">
        <f aca="false">DATE(2022,10,1)</f>
        <v>44835</v>
      </c>
      <c r="C29" s="6" t="n">
        <v>673</v>
      </c>
      <c r="D29" s="6" t="n">
        <v>515</v>
      </c>
      <c r="E29" s="6" t="n">
        <v>511</v>
      </c>
      <c r="F29" s="6" t="n">
        <v>187</v>
      </c>
    </row>
    <row r="30" customFormat="false" ht="15" hidden="false" customHeight="false" outlineLevel="0" collapsed="false">
      <c r="A30" s="4" t="s">
        <v>41</v>
      </c>
      <c r="B30" s="5" t="n">
        <f aca="false">DATE(2023,1,1)</f>
        <v>44927</v>
      </c>
      <c r="C30" s="6" t="n">
        <v>659</v>
      </c>
      <c r="D30" s="6" t="n">
        <v>577</v>
      </c>
      <c r="E30" s="6" t="n">
        <v>538</v>
      </c>
      <c r="F30" s="6" t="n">
        <v>226</v>
      </c>
    </row>
    <row r="31" customFormat="false" ht="15" hidden="false" customHeight="false" outlineLevel="0" collapsed="false">
      <c r="A31" s="4" t="s">
        <v>42</v>
      </c>
      <c r="B31" s="5" t="n">
        <f aca="false">DATE(2023,4,1)</f>
        <v>45017</v>
      </c>
      <c r="C31" s="6" t="n">
        <v>691</v>
      </c>
      <c r="D31" s="6" t="n">
        <v>600</v>
      </c>
      <c r="E31" s="6" t="n">
        <v>579</v>
      </c>
      <c r="F31" s="6" t="n">
        <v>259</v>
      </c>
    </row>
    <row r="32" customFormat="false" ht="15" hidden="false" customHeight="false" outlineLevel="0" collapsed="false">
      <c r="A32" s="4" t="s">
        <v>43</v>
      </c>
      <c r="B32" s="5" t="n">
        <f aca="false">DATE(2023,7,1)</f>
        <v>45108</v>
      </c>
      <c r="C32" s="6" t="n">
        <v>664</v>
      </c>
      <c r="D32" s="6" t="n">
        <v>569</v>
      </c>
      <c r="E32" s="6" t="n">
        <v>547</v>
      </c>
      <c r="F32" s="6" t="n">
        <v>276</v>
      </c>
    </row>
    <row r="33" customFormat="false" ht="15" hidden="false" customHeight="false" outlineLevel="0" collapsed="false">
      <c r="A33" s="4" t="s">
        <v>44</v>
      </c>
      <c r="B33" s="5" t="n">
        <f aca="false">DATE(2023,10,1)</f>
        <v>45200</v>
      </c>
      <c r="C33" s="6" t="n">
        <v>631</v>
      </c>
      <c r="D33" s="6" t="n">
        <v>589</v>
      </c>
      <c r="E33" s="6" t="n">
        <v>536</v>
      </c>
      <c r="F33" s="6" t="n">
        <v>233</v>
      </c>
    </row>
    <row r="34" customFormat="false" ht="15" hidden="false" customHeight="false" outlineLevel="0" collapsed="false">
      <c r="A34" s="4" t="s">
        <v>45</v>
      </c>
      <c r="B34" s="5" t="n">
        <f aca="false">DATE(2024,1,1)</f>
        <v>45292</v>
      </c>
      <c r="C34" s="6" t="n">
        <v>598</v>
      </c>
      <c r="D34" s="6" t="n">
        <v>523</v>
      </c>
      <c r="E34" s="6" t="n">
        <v>559</v>
      </c>
      <c r="F34" s="6" t="n">
        <v>229</v>
      </c>
    </row>
    <row r="35" customFormat="false" ht="15" hidden="false" customHeight="false" outlineLevel="0" collapsed="false">
      <c r="A35" s="4" t="s">
        <v>46</v>
      </c>
      <c r="B35" s="5" t="n">
        <f aca="false">DATE(2024,4,1)</f>
        <v>45383</v>
      </c>
      <c r="C35" s="6" t="n">
        <v>652</v>
      </c>
      <c r="D35" s="6" t="n">
        <v>619</v>
      </c>
      <c r="E35" s="6" t="n">
        <v>554</v>
      </c>
      <c r="F35" s="6" t="n">
        <v>253</v>
      </c>
    </row>
    <row r="36" customFormat="false" ht="15" hidden="false" customHeight="false" outlineLevel="0" collapsed="false">
      <c r="A36" s="4" t="s">
        <v>47</v>
      </c>
      <c r="B36" s="5" t="n">
        <f aca="false">DATE(2024,7,1)</f>
        <v>45474</v>
      </c>
      <c r="C36" s="6" t="n">
        <v>581</v>
      </c>
      <c r="D36" s="6" t="n">
        <v>569</v>
      </c>
      <c r="E36" s="6" t="n">
        <v>540</v>
      </c>
      <c r="F36" s="6" t="n">
        <v>251</v>
      </c>
    </row>
    <row r="37" customFormat="false" ht="15" hidden="false" customHeight="false" outlineLevel="0" collapsed="false">
      <c r="A37" s="4" t="s">
        <v>48</v>
      </c>
      <c r="B37" s="5" t="n">
        <f aca="false">DATE(2024,10,1)</f>
        <v>45566</v>
      </c>
      <c r="C37" s="6" t="n">
        <v>436</v>
      </c>
      <c r="D37" s="6" t="n">
        <v>423</v>
      </c>
      <c r="E37" s="6" t="n">
        <v>415</v>
      </c>
      <c r="F37" s="6" t="n">
        <v>209</v>
      </c>
    </row>
    <row r="38" customFormat="false" ht="15" hidden="false" customHeight="false" outlineLevel="0" collapsed="false">
      <c r="A38" s="4" t="s">
        <v>49</v>
      </c>
      <c r="B38" s="5" t="n">
        <f aca="false">DATE(2025,1,1)</f>
        <v>45658</v>
      </c>
      <c r="C38" s="6" t="n">
        <v>330</v>
      </c>
      <c r="D38" s="6" t="n">
        <v>348</v>
      </c>
      <c r="E38" s="6" t="n">
        <v>389</v>
      </c>
      <c r="F38" s="6" t="n">
        <v>174</v>
      </c>
    </row>
    <row r="39" customFormat="false" ht="15" hidden="false" customHeight="false" outlineLevel="0" collapsed="false">
      <c r="A39" s="4" t="s">
        <v>50</v>
      </c>
      <c r="B39" s="5" t="n">
        <f aca="false">DATE(2025,4,1)</f>
        <v>45748</v>
      </c>
      <c r="C39" s="6" t="n">
        <v>327</v>
      </c>
      <c r="D39" s="6" t="n">
        <v>377</v>
      </c>
      <c r="E39" s="6" t="n">
        <v>409</v>
      </c>
      <c r="F39" s="6" t="n">
        <v>184</v>
      </c>
    </row>
    <row r="40" customFormat="false" ht="15" hidden="false" customHeight="false" outlineLevel="0" collapsed="false">
      <c r="A40" s="4" t="s">
        <v>51</v>
      </c>
      <c r="B40" s="5" t="n">
        <f aca="false">DATE(2025,7,1)</f>
        <v>45839</v>
      </c>
      <c r="C40" s="6" t="n">
        <v>362</v>
      </c>
      <c r="D40" s="6" t="n">
        <v>383</v>
      </c>
      <c r="E40" s="6" t="n">
        <v>479</v>
      </c>
      <c r="F40" s="6" t="n">
        <v>262</v>
      </c>
    </row>
    <row r="41" customFormat="false" ht="15" hidden="false" customHeight="false" outlineLevel="0" collapsed="false">
      <c r="A41" s="4" t="s">
        <v>52</v>
      </c>
      <c r="B41" s="5" t="n">
        <f aca="false">DATE(2025,10,1)</f>
        <v>45931</v>
      </c>
      <c r="C41" s="6" t="n">
        <v>398</v>
      </c>
      <c r="D41" s="6" t="n">
        <v>398</v>
      </c>
      <c r="E41" s="6" t="n">
        <v>439</v>
      </c>
      <c r="F41" s="6" t="n">
        <v>193</v>
      </c>
    </row>
    <row r="42" customFormat="false" ht="15" hidden="false" customHeight="false" outlineLevel="0" collapsed="false">
      <c r="A42" s="4" t="s">
        <v>53</v>
      </c>
      <c r="B42" s="5" t="n">
        <f aca="false">DATE(2026,1,1)</f>
        <v>46023</v>
      </c>
      <c r="C42" s="6" t="n">
        <v>389</v>
      </c>
      <c r="D42" s="6" t="n">
        <v>352</v>
      </c>
      <c r="E42" s="6" t="n">
        <v>468</v>
      </c>
      <c r="F42" s="6" t="n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10" min="6" style="0" width="12"/>
  </cols>
  <sheetData>
    <row r="1" customFormat="false" ht="15" hidden="false" customHeight="false" outlineLevel="0" collapsed="false">
      <c r="A1" s="7" t="s">
        <v>54</v>
      </c>
    </row>
    <row r="3" customFormat="false" ht="15" hidden="false" customHeight="false" outlineLevel="0" collapsed="false">
      <c r="A3" s="8" t="s">
        <v>9</v>
      </c>
    </row>
    <row r="4" customFormat="false" ht="30" hidden="false" customHeight="true" outlineLevel="0" collapsed="false">
      <c r="A4" s="3" t="s">
        <v>7</v>
      </c>
      <c r="B4" s="3" t="s">
        <v>55</v>
      </c>
      <c r="C4" s="3" t="s">
        <v>56</v>
      </c>
      <c r="D4" s="3" t="s">
        <v>57</v>
      </c>
      <c r="E4" s="3" t="s">
        <v>58</v>
      </c>
      <c r="F4" s="3" t="s">
        <v>59</v>
      </c>
      <c r="G4" s="3" t="s">
        <v>60</v>
      </c>
      <c r="H4" s="3" t="s">
        <v>61</v>
      </c>
      <c r="I4" s="3" t="s">
        <v>62</v>
      </c>
      <c r="J4" s="3" t="s">
        <v>63</v>
      </c>
    </row>
    <row r="5" customFormat="false" ht="15" hidden="false" customHeight="false" outlineLevel="0" collapsed="false">
      <c r="A5" s="4" t="s">
        <v>48</v>
      </c>
      <c r="B5" s="9" t="n">
        <f aca="false">Data!C37</f>
        <v>436</v>
      </c>
      <c r="C5" s="10" t="n">
        <f aca="false">_xlfn.FORECAST.ETS(Data!B37,Data!$C$2:$C$36,Data!$B$2:$B$36,4)</f>
        <v>626.448332811635</v>
      </c>
      <c r="D5" s="10" t="n">
        <f aca="false">C5-_xlfn.FORECAST.ETS.CONFINT(Data!B37,Data!$C$2:$C$36,Data!$B$2:$B$36,0.95,4)</f>
        <v>513.531697497109</v>
      </c>
      <c r="E5" s="10" t="n">
        <f aca="false">C5+_xlfn.FORECAST.ETS.CONFINT(Data!B37,Data!$C$2:$C$36,Data!$B$2:$B$36,0.95,4)</f>
        <v>741.423281519737</v>
      </c>
      <c r="F5" s="9" t="n">
        <f aca="false">Data!C33</f>
        <v>631</v>
      </c>
      <c r="G5" s="10" t="n">
        <f aca="false">ABS(C5-B5)</f>
        <v>190.448332811635</v>
      </c>
      <c r="H5" s="11" t="n">
        <f aca="false">G5/B5</f>
        <v>0.436808102778979</v>
      </c>
      <c r="I5" s="10" t="n">
        <f aca="false">ABS(F5-B5)</f>
        <v>195</v>
      </c>
      <c r="J5" s="11" t="n">
        <f aca="false">I5/B5</f>
        <v>0.447247706422018</v>
      </c>
    </row>
    <row r="6" customFormat="false" ht="15" hidden="false" customHeight="false" outlineLevel="0" collapsed="false">
      <c r="A6" s="4" t="s">
        <v>49</v>
      </c>
      <c r="B6" s="9" t="n">
        <f aca="false">Data!C38</f>
        <v>330</v>
      </c>
      <c r="C6" s="10" t="n">
        <f aca="false">_xlfn.FORECAST.ETS(Data!B38,Data!$C$2:$C$36,Data!$B$2:$B$36,4)</f>
        <v>624.051133817202</v>
      </c>
      <c r="D6" s="10" t="n">
        <f aca="false">C6-_xlfn.FORECAST.ETS.CONFINT(Data!B38,Data!$C$2:$C$36,Data!$B$2:$B$36,0.95,4)</f>
        <v>486.421657028754</v>
      </c>
      <c r="E6" s="10" t="n">
        <f aca="false">C6+_xlfn.FORECAST.ETS.CONFINT(Data!B38,Data!$C$2:$C$36,Data!$B$2:$B$36,0.95,4)</f>
        <v>776.045976324031</v>
      </c>
      <c r="F6" s="9" t="n">
        <f aca="false">Data!C34</f>
        <v>598</v>
      </c>
      <c r="G6" s="10" t="n">
        <f aca="false">ABS(C6-B6)</f>
        <v>294.051133817202</v>
      </c>
      <c r="H6" s="11" t="n">
        <f aca="false">G6/B6</f>
        <v>0.891064041870309</v>
      </c>
      <c r="I6" s="10" t="n">
        <f aca="false">ABS(F6-B6)</f>
        <v>268</v>
      </c>
      <c r="J6" s="11" t="n">
        <f aca="false">I6/B6</f>
        <v>0.812121212121212</v>
      </c>
    </row>
    <row r="7" customFormat="false" ht="15" hidden="false" customHeight="false" outlineLevel="0" collapsed="false">
      <c r="A7" s="4" t="s">
        <v>50</v>
      </c>
      <c r="B7" s="9" t="n">
        <f aca="false">Data!C39</f>
        <v>327</v>
      </c>
      <c r="C7" s="10" t="n">
        <f aca="false">_xlfn.FORECAST.ETS(Data!B39,Data!$C$2:$C$36,Data!$B$2:$B$36,4)</f>
        <v>703.153934822769</v>
      </c>
      <c r="D7" s="10" t="n">
        <f aca="false">C7-_xlfn.FORECAST.ETS.CONFINT(Data!B39,Data!$C$2:$C$36,Data!$B$2:$B$36,0.95,4)</f>
        <v>545.386865668448</v>
      </c>
      <c r="E7" s="10" t="n">
        <f aca="false">C7+_xlfn.FORECAST.ETS.CONFINT(Data!B39,Data!$C$2:$C$36,Data!$B$2:$B$36,0.95,4)</f>
        <v>863.65203443069</v>
      </c>
      <c r="F7" s="9" t="n">
        <f aca="false">Data!C35</f>
        <v>652</v>
      </c>
      <c r="G7" s="10" t="n">
        <f aca="false">ABS(C7-B7)</f>
        <v>376.153934822769</v>
      </c>
      <c r="H7" s="11" t="n">
        <f aca="false">G7/B7</f>
        <v>1.15031784349471</v>
      </c>
      <c r="I7" s="10" t="n">
        <f aca="false">ABS(F7-B7)</f>
        <v>325</v>
      </c>
      <c r="J7" s="11" t="n">
        <f aca="false">I7/B7</f>
        <v>0.99388379204893</v>
      </c>
    </row>
    <row r="8" customFormat="false" ht="15" hidden="false" customHeight="false" outlineLevel="0" collapsed="false">
      <c r="A8" s="4" t="s">
        <v>51</v>
      </c>
      <c r="B8" s="9" t="n">
        <f aca="false">Data!C40</f>
        <v>362</v>
      </c>
      <c r="C8" s="10" t="n">
        <f aca="false">_xlfn.FORECAST.ETS(Data!B40,Data!$C$2:$C$36,Data!$B$2:$B$36,4)</f>
        <v>679.756735828336</v>
      </c>
      <c r="D8" s="10" t="n">
        <f aca="false">C8-_xlfn.FORECAST.ETS.CONFINT(Data!B40,Data!$C$2:$C$36,Data!$B$2:$B$36,0.95,4)</f>
        <v>482.167121926875</v>
      </c>
      <c r="E8" s="10" t="n">
        <f aca="false">C8+_xlfn.FORECAST.ETS.CONFINT(Data!B40,Data!$C$2:$C$36,Data!$B$2:$B$36,0.95,4)</f>
        <v>870.429277024595</v>
      </c>
      <c r="F8" s="9" t="n">
        <f aca="false">Data!C36</f>
        <v>581</v>
      </c>
      <c r="G8" s="10" t="n">
        <f aca="false">ABS(C8-B8)</f>
        <v>317.756735828336</v>
      </c>
      <c r="H8" s="11" t="n">
        <f aca="false">G8/B8</f>
        <v>0.877781038199823</v>
      </c>
      <c r="I8" s="10" t="n">
        <f aca="false">ABS(F8-B8)</f>
        <v>219</v>
      </c>
      <c r="J8" s="11" t="n">
        <f aca="false">I8/B8</f>
        <v>0.604972375690608</v>
      </c>
    </row>
    <row r="9" customFormat="false" ht="15" hidden="false" customHeight="false" outlineLevel="0" collapsed="false">
      <c r="A9" s="4" t="s">
        <v>52</v>
      </c>
      <c r="B9" s="9" t="n">
        <f aca="false">Data!C41</f>
        <v>398</v>
      </c>
      <c r="C9" s="10" t="n">
        <f aca="false">_xlfn.FORECAST.ETS(Data!B41,Data!$C$2:$C$36,Data!$B$2:$B$36,4)</f>
        <v>724.359536833903</v>
      </c>
      <c r="D9" s="10" t="n">
        <f aca="false">C9-_xlfn.FORECAST.ETS.CONFINT(Data!B41,Data!$C$2:$C$36,Data!$B$2:$B$36,0.95,4)</f>
        <v>515.205390032833</v>
      </c>
      <c r="E9" s="10" t="n">
        <f aca="false">C9+_xlfn.FORECAST.ETS.CONFINT(Data!B41,Data!$C$2:$C$36,Data!$B$2:$B$36,0.95,4)</f>
        <v>928.148040005188</v>
      </c>
      <c r="F9" s="9" t="n">
        <f aca="false">Data!C33</f>
        <v>631</v>
      </c>
      <c r="G9" s="10" t="n">
        <f aca="false">ABS(C9-B9)</f>
        <v>326.359536833903</v>
      </c>
      <c r="H9" s="11" t="n">
        <f aca="false">G9/B9</f>
        <v>0.819998836266087</v>
      </c>
      <c r="I9" s="10" t="n">
        <f aca="false">ABS(F9-B9)</f>
        <v>233</v>
      </c>
      <c r="J9" s="11" t="n">
        <f aca="false">I9/B9</f>
        <v>0.585427135678392</v>
      </c>
    </row>
    <row r="10" customFormat="false" ht="15" hidden="false" customHeight="false" outlineLevel="0" collapsed="false">
      <c r="A10" s="4" t="s">
        <v>53</v>
      </c>
      <c r="B10" s="9" t="n">
        <f aca="false">Data!C42</f>
        <v>389</v>
      </c>
      <c r="C10" s="10" t="n">
        <f aca="false">_xlfn.FORECAST.ETS(Data!B42,Data!$C$2:$C$36,Data!$B$2:$B$36,4)</f>
        <v>721.96233783947</v>
      </c>
      <c r="D10" s="10" t="n">
        <f aca="false">C10-_xlfn.FORECAST.ETS.CONFINT(Data!B42,Data!$C$2:$C$36,Data!$B$2:$B$36,0.95,4)</f>
        <v>503.229564578963</v>
      </c>
      <c r="E10" s="10" t="n">
        <f aca="false">C10+_xlfn.FORECAST.ETS.CONFINT(Data!B42,Data!$C$2:$C$36,Data!$B$2:$B$36,0.95,4)</f>
        <v>919.945801102524</v>
      </c>
      <c r="F10" s="9" t="n">
        <f aca="false">Data!C34</f>
        <v>598</v>
      </c>
      <c r="G10" s="10" t="n">
        <f aca="false">ABS(C10-B10)</f>
        <v>332.96233783947</v>
      </c>
      <c r="H10" s="11" t="n">
        <f aca="false">G10/B10</f>
        <v>0.855944313212004</v>
      </c>
      <c r="I10" s="10" t="n">
        <f aca="false">ABS(F10-B10)</f>
        <v>209</v>
      </c>
      <c r="J10" s="11" t="n">
        <f aca="false">I10/B10</f>
        <v>0.537275064267352</v>
      </c>
    </row>
    <row r="11" customFormat="false" ht="15" hidden="false" customHeight="false" outlineLevel="0" collapsed="false">
      <c r="A11" s="8" t="s">
        <v>64</v>
      </c>
      <c r="C11" s="8" t="s">
        <v>65</v>
      </c>
      <c r="D11" s="8" t="str">
        <f aca="false">SUMPRODUCT((B5:B10&gt;=D5:D10)*(B5:B10&lt;=E5:E10))&amp;" of 6"</f>
        <v>0 of 6</v>
      </c>
      <c r="G11" s="12" t="n">
        <f aca="false">AVERAGE(G5:G10)</f>
        <v>306.288668658886</v>
      </c>
      <c r="H11" s="13" t="n">
        <f aca="false">AVERAGE(H5:H10)</f>
        <v>0.838652362636985</v>
      </c>
      <c r="I11" s="12" t="n">
        <f aca="false">AVERAGE(I5:I10)</f>
        <v>241.5</v>
      </c>
      <c r="J11" s="13" t="n">
        <f aca="false">AVERAGE(J5:J10)</f>
        <v>0.663487881038085</v>
      </c>
    </row>
    <row r="15" customFormat="false" ht="15" hidden="false" customHeight="false" outlineLevel="0" collapsed="false">
      <c r="A15" s="8" t="s">
        <v>10</v>
      </c>
    </row>
    <row r="16" customFormat="false" ht="30" hidden="false" customHeight="true" outlineLevel="0" collapsed="false">
      <c r="A16" s="3" t="s">
        <v>7</v>
      </c>
      <c r="B16" s="3" t="s">
        <v>55</v>
      </c>
      <c r="C16" s="3" t="s">
        <v>56</v>
      </c>
      <c r="D16" s="3" t="s">
        <v>57</v>
      </c>
      <c r="E16" s="3" t="s">
        <v>58</v>
      </c>
      <c r="F16" s="3" t="s">
        <v>59</v>
      </c>
      <c r="G16" s="3" t="s">
        <v>60</v>
      </c>
      <c r="H16" s="3" t="s">
        <v>61</v>
      </c>
      <c r="I16" s="3" t="s">
        <v>62</v>
      </c>
      <c r="J16" s="3" t="s">
        <v>63</v>
      </c>
    </row>
    <row r="17" customFormat="false" ht="15" hidden="false" customHeight="false" outlineLevel="0" collapsed="false">
      <c r="A17" s="4" t="s">
        <v>48</v>
      </c>
      <c r="B17" s="9" t="n">
        <f aca="false">Data!D37</f>
        <v>423</v>
      </c>
      <c r="C17" s="10" t="n">
        <f aca="false">_xlfn.FORECAST.ETS(Data!B37,Data!$D$10:$D$36,Data!$B$10:$B$36,4)</f>
        <v>607.581262496504</v>
      </c>
      <c r="D17" s="10" t="n">
        <f aca="false">C17-_xlfn.FORECAST.ETS.CONFINT(Data!B37,Data!$D$10:$D$36,Data!$B$10:$B$36,0.95,4)</f>
        <v>500.890291544417</v>
      </c>
      <c r="E17" s="10" t="n">
        <f aca="false">C17+_xlfn.FORECAST.ETS.CONFINT(Data!B37,Data!$D$10:$D$36,Data!$B$10:$B$36,0.95,4)</f>
        <v>709.425461162636</v>
      </c>
      <c r="F17" s="9" t="n">
        <f aca="false">Data!D33</f>
        <v>589</v>
      </c>
      <c r="G17" s="10" t="n">
        <f aca="false">ABS(C17-B17)</f>
        <v>184.581262496504</v>
      </c>
      <c r="H17" s="11" t="n">
        <f aca="false">G17/B17</f>
        <v>0.436362322686771</v>
      </c>
      <c r="I17" s="10" t="n">
        <f aca="false">ABS(F17-B17)</f>
        <v>166</v>
      </c>
      <c r="J17" s="11" t="n">
        <f aca="false">I17/B17</f>
        <v>0.392434988179669</v>
      </c>
    </row>
    <row r="18" customFormat="false" ht="15" hidden="false" customHeight="false" outlineLevel="0" collapsed="false">
      <c r="A18" s="4" t="s">
        <v>49</v>
      </c>
      <c r="B18" s="9" t="n">
        <f aca="false">Data!D38</f>
        <v>348</v>
      </c>
      <c r="C18" s="10" t="n">
        <f aca="false">_xlfn.FORECAST.ETS(Data!B38,Data!$D$10:$D$36,Data!$B$10:$B$36,4)</f>
        <v>609.472498779954</v>
      </c>
      <c r="D18" s="10" t="n">
        <f aca="false">C18-_xlfn.FORECAST.ETS.CONFINT(Data!B38,Data!$D$10:$D$36,Data!$B$10:$B$36,0.95,4)</f>
        <v>497.496986200135</v>
      </c>
      <c r="E18" s="10" t="n">
        <f aca="false">C18+_xlfn.FORECAST.ETS.CONFINT(Data!B38,Data!$D$10:$D$36,Data!$B$10:$B$36,0.95,4)</f>
        <v>724.604053878034</v>
      </c>
      <c r="F18" s="9" t="n">
        <f aca="false">Data!D34</f>
        <v>523</v>
      </c>
      <c r="G18" s="10" t="n">
        <f aca="false">ABS(C18-B18)</f>
        <v>261.472498779954</v>
      </c>
      <c r="H18" s="11" t="n">
        <f aca="false">G18/B18</f>
        <v>0.751357755114811</v>
      </c>
      <c r="I18" s="10" t="n">
        <f aca="false">ABS(F18-B18)</f>
        <v>175</v>
      </c>
      <c r="J18" s="11" t="n">
        <f aca="false">I18/B18</f>
        <v>0.502873563218391</v>
      </c>
    </row>
    <row r="19" customFormat="false" ht="15" hidden="false" customHeight="false" outlineLevel="0" collapsed="false">
      <c r="A19" s="4" t="s">
        <v>50</v>
      </c>
      <c r="B19" s="9" t="n">
        <f aca="false">Data!D39</f>
        <v>377</v>
      </c>
      <c r="C19" s="10" t="n">
        <f aca="false">_xlfn.FORECAST.ETS(Data!B39,Data!$D$10:$D$36,Data!$B$10:$B$36,4)</f>
        <v>623.226395737013</v>
      </c>
      <c r="D19" s="10" t="n">
        <f aca="false">C19-_xlfn.FORECAST.ETS.CONFINT(Data!B39,Data!$D$10:$D$36,Data!$B$10:$B$36,0.95,4)</f>
        <v>497.558870439866</v>
      </c>
      <c r="E19" s="10" t="n">
        <f aca="false">C19+_xlfn.FORECAST.ETS.CONFINT(Data!B39,Data!$D$10:$D$36,Data!$B$10:$B$36,0.95,4)</f>
        <v>748.242777144475</v>
      </c>
      <c r="F19" s="9" t="n">
        <f aca="false">Data!D35</f>
        <v>619</v>
      </c>
      <c r="G19" s="10" t="n">
        <f aca="false">ABS(C19-B19)</f>
        <v>246.226395737012</v>
      </c>
      <c r="H19" s="11" t="n">
        <f aca="false">G19/B19</f>
        <v>0.653120413095524</v>
      </c>
      <c r="I19" s="10" t="n">
        <f aca="false">ABS(F19-B19)</f>
        <v>242</v>
      </c>
      <c r="J19" s="11" t="n">
        <f aca="false">I19/B19</f>
        <v>0.641909814323607</v>
      </c>
    </row>
    <row r="20" customFormat="false" ht="15" hidden="false" customHeight="false" outlineLevel="0" collapsed="false">
      <c r="A20" s="4" t="s">
        <v>51</v>
      </c>
      <c r="B20" s="9" t="n">
        <f aca="false">Data!D40</f>
        <v>383</v>
      </c>
      <c r="C20" s="10" t="n">
        <f aca="false">_xlfn.FORECAST.ETS(Data!B40,Data!$D$10:$D$36,Data!$B$10:$B$36,4)</f>
        <v>597.287157641827</v>
      </c>
      <c r="D20" s="10" t="n">
        <f aca="false">C20-_xlfn.FORECAST.ETS.CONFINT(Data!B40,Data!$D$10:$D$36,Data!$B$10:$B$36,0.95,4)</f>
        <v>465.409992607222</v>
      </c>
      <c r="E20" s="10" t="n">
        <f aca="false">C20+_xlfn.FORECAST.ETS.CONFINT(Data!B40,Data!$D$10:$D$36,Data!$B$10:$B$36,0.95,4)</f>
        <v>731.787460574195</v>
      </c>
      <c r="F20" s="9" t="n">
        <f aca="false">Data!D36</f>
        <v>569</v>
      </c>
      <c r="G20" s="10" t="n">
        <f aca="false">ABS(C20-B20)</f>
        <v>214.287157641827</v>
      </c>
      <c r="H20" s="11" t="n">
        <f aca="false">G20/B20</f>
        <v>0.559496495148373</v>
      </c>
      <c r="I20" s="10" t="n">
        <f aca="false">ABS(F20-B20)</f>
        <v>186</v>
      </c>
      <c r="J20" s="11" t="n">
        <f aca="false">I20/B20</f>
        <v>0.485639686684073</v>
      </c>
    </row>
    <row r="21" customFormat="false" ht="15" hidden="false" customHeight="false" outlineLevel="0" collapsed="false">
      <c r="A21" s="4" t="s">
        <v>52</v>
      </c>
      <c r="B21" s="9" t="n">
        <f aca="false">Data!D41</f>
        <v>398</v>
      </c>
      <c r="C21" s="10" t="n">
        <f aca="false">_xlfn.FORECAST.ETS(Data!B41,Data!$D$10:$D$36,Data!$B$10:$B$36,4)</f>
        <v>633.081262496504</v>
      </c>
      <c r="D21" s="10" t="n">
        <f aca="false">C21-_xlfn.FORECAST.ETS.CONFINT(Data!B41,Data!$D$10:$D$36,Data!$B$10:$B$36,0.95,4)</f>
        <v>498.365520534875</v>
      </c>
      <c r="E21" s="10" t="n">
        <f aca="false">C21+_xlfn.FORECAST.ETS.CONFINT(Data!B41,Data!$D$10:$D$36,Data!$B$10:$B$36,0.95,4)</f>
        <v>777.235550372067</v>
      </c>
      <c r="F21" s="9" t="n">
        <f aca="false">Data!D33</f>
        <v>589</v>
      </c>
      <c r="G21" s="10" t="n">
        <f aca="false">ABS(C21-B21)</f>
        <v>235.081262496504</v>
      </c>
      <c r="H21" s="11" t="n">
        <f aca="false">G21/B21</f>
        <v>0.590656438433428</v>
      </c>
      <c r="I21" s="10" t="n">
        <f aca="false">ABS(F21-B21)</f>
        <v>191</v>
      </c>
      <c r="J21" s="11" t="n">
        <f aca="false">I21/B21</f>
        <v>0.479899497487437</v>
      </c>
    </row>
    <row r="22" customFormat="false" ht="15" hidden="false" customHeight="false" outlineLevel="0" collapsed="false">
      <c r="A22" s="4" t="s">
        <v>53</v>
      </c>
      <c r="B22" s="9" t="n">
        <f aca="false">Data!D42</f>
        <v>352</v>
      </c>
      <c r="C22" s="10" t="n">
        <f aca="false">_xlfn.FORECAST.ETS(Data!B42,Data!$D$10:$D$36,Data!$B$10:$B$36,4)</f>
        <v>634.972498779954</v>
      </c>
      <c r="D22" s="10" t="n">
        <f aca="false">C22-_xlfn.FORECAST.ETS.CONFINT(Data!B42,Data!$D$10:$D$36,Data!$B$10:$B$36,0.95,4)</f>
        <v>476.891783459381</v>
      </c>
      <c r="E22" s="10" t="n">
        <f aca="false">C22+_xlfn.FORECAST.ETS.CONFINT(Data!B42,Data!$D$10:$D$36,Data!$B$10:$B$36,0.95,4)</f>
        <v>786.621513057222</v>
      </c>
      <c r="F22" s="9" t="n">
        <f aca="false">Data!D34</f>
        <v>523</v>
      </c>
      <c r="G22" s="10" t="n">
        <f aca="false">ABS(C22-B22)</f>
        <v>282.972498779954</v>
      </c>
      <c r="H22" s="11" t="n">
        <f aca="false">G22/B22</f>
        <v>0.803899144261234</v>
      </c>
      <c r="I22" s="10" t="n">
        <f aca="false">ABS(F22-B22)</f>
        <v>171</v>
      </c>
      <c r="J22" s="11" t="n">
        <f aca="false">I22/B22</f>
        <v>0.485795454545455</v>
      </c>
    </row>
    <row r="23" customFormat="false" ht="15" hidden="false" customHeight="false" outlineLevel="0" collapsed="false">
      <c r="A23" s="8" t="s">
        <v>64</v>
      </c>
      <c r="C23" s="8" t="s">
        <v>65</v>
      </c>
      <c r="D23" s="8" t="str">
        <f aca="false">SUMPRODUCT((B17:B22&gt;=D17:D22)*(B17:B22&lt;=E17:E22))&amp;" of 6"</f>
        <v>0 of 6</v>
      </c>
      <c r="G23" s="12" t="n">
        <f aca="false">AVERAGE(G17:G22)</f>
        <v>237.436845988626</v>
      </c>
      <c r="H23" s="13" t="n">
        <f aca="false">AVERAGE(H17:H22)</f>
        <v>0.632482094790024</v>
      </c>
      <c r="I23" s="12" t="n">
        <f aca="false">AVERAGE(I17:I22)</f>
        <v>188.5</v>
      </c>
      <c r="J23" s="13" t="n">
        <f aca="false">AVERAGE(J17:J22)</f>
        <v>0.498092167406439</v>
      </c>
    </row>
    <row r="27" customFormat="false" ht="15" hidden="false" customHeight="false" outlineLevel="0" collapsed="false">
      <c r="A27" s="8" t="s">
        <v>11</v>
      </c>
    </row>
    <row r="28" customFormat="false" ht="30" hidden="false" customHeight="true" outlineLevel="0" collapsed="false">
      <c r="A28" s="3" t="s">
        <v>7</v>
      </c>
      <c r="B28" s="3" t="s">
        <v>55</v>
      </c>
      <c r="C28" s="3" t="s">
        <v>56</v>
      </c>
      <c r="D28" s="3" t="s">
        <v>57</v>
      </c>
      <c r="E28" s="3" t="s">
        <v>58</v>
      </c>
      <c r="F28" s="3" t="s">
        <v>59</v>
      </c>
      <c r="G28" s="3" t="s">
        <v>60</v>
      </c>
      <c r="H28" s="3" t="s">
        <v>61</v>
      </c>
      <c r="I28" s="3" t="s">
        <v>62</v>
      </c>
      <c r="J28" s="3" t="s">
        <v>63</v>
      </c>
    </row>
    <row r="29" customFormat="false" ht="15" hidden="false" customHeight="false" outlineLevel="0" collapsed="false">
      <c r="A29" s="4" t="s">
        <v>48</v>
      </c>
      <c r="B29" s="9" t="n">
        <f aca="false">Data!E37</f>
        <v>415</v>
      </c>
      <c r="C29" s="10" t="n">
        <f aca="false">_xlfn.FORECAST.ETS(Data!B37,Data!$E$2:$E$36,Data!$B$2:$B$36,4)</f>
        <v>534.859957718302</v>
      </c>
      <c r="D29" s="10" t="n">
        <f aca="false">C29-_xlfn.FORECAST.ETS.CONFINT(Data!B37,Data!$E$2:$E$36,Data!$B$2:$B$36,0.95,4)</f>
        <v>463.070329544842</v>
      </c>
      <c r="E29" s="10" t="n">
        <f aca="false">C29+_xlfn.FORECAST.ETS.CONFINT(Data!B37,Data!$E$2:$E$36,Data!$B$2:$B$36,0.95,4)</f>
        <v>609.373079173365</v>
      </c>
      <c r="F29" s="9" t="n">
        <f aca="false">Data!E33</f>
        <v>536</v>
      </c>
      <c r="G29" s="10" t="n">
        <f aca="false">ABS(C29-B29)</f>
        <v>119.859957718302</v>
      </c>
      <c r="H29" s="11" t="n">
        <f aca="false">G29/B29</f>
        <v>0.288819175224824</v>
      </c>
      <c r="I29" s="10" t="n">
        <f aca="false">ABS(F29-B29)</f>
        <v>121</v>
      </c>
      <c r="J29" s="11" t="n">
        <f aca="false">I29/B29</f>
        <v>0.291566265060241</v>
      </c>
    </row>
    <row r="30" customFormat="false" ht="15" hidden="false" customHeight="false" outlineLevel="0" collapsed="false">
      <c r="A30" s="4" t="s">
        <v>49</v>
      </c>
      <c r="B30" s="9" t="n">
        <f aca="false">Data!E38</f>
        <v>389</v>
      </c>
      <c r="C30" s="10" t="n">
        <f aca="false">_xlfn.FORECAST.ETS(Data!B38,Data!$E$2:$E$36,Data!$B$2:$B$36,4)</f>
        <v>528.119152085401</v>
      </c>
      <c r="D30" s="10" t="n">
        <f aca="false">C30-_xlfn.FORECAST.ETS.CONFINT(Data!B38,Data!$E$2:$E$36,Data!$B$2:$B$36,0.95,4)</f>
        <v>443.113640784086</v>
      </c>
      <c r="E30" s="10" t="n">
        <f aca="false">C30+_xlfn.FORECAST.ETS.CONFINT(Data!B38,Data!$E$2:$E$36,Data!$B$2:$B$36,0.95,4)</f>
        <v>619.118985319732</v>
      </c>
      <c r="F30" s="9" t="n">
        <f aca="false">Data!E34</f>
        <v>559</v>
      </c>
      <c r="G30" s="10" t="n">
        <f aca="false">ABS(C30-B30)</f>
        <v>139.119152085401</v>
      </c>
      <c r="H30" s="11" t="n">
        <f aca="false">G30/B30</f>
        <v>0.357632781710543</v>
      </c>
      <c r="I30" s="10" t="n">
        <f aca="false">ABS(F30-B30)</f>
        <v>170</v>
      </c>
      <c r="J30" s="11" t="n">
        <f aca="false">I30/B30</f>
        <v>0.437017994858612</v>
      </c>
    </row>
    <row r="31" customFormat="false" ht="15" hidden="false" customHeight="false" outlineLevel="0" collapsed="false">
      <c r="A31" s="4" t="s">
        <v>50</v>
      </c>
      <c r="B31" s="9" t="n">
        <f aca="false">Data!E39</f>
        <v>409</v>
      </c>
      <c r="C31" s="10" t="n">
        <f aca="false">_xlfn.FORECAST.ETS(Data!B39,Data!$E$2:$E$36,Data!$B$2:$B$36,4)</f>
        <v>563.9898469647</v>
      </c>
      <c r="D31" s="10" t="n">
        <f aca="false">C31-_xlfn.FORECAST.ETS.CONFINT(Data!B39,Data!$E$2:$E$36,Data!$B$2:$B$36,0.95,4)</f>
        <v>465.926465557791</v>
      </c>
      <c r="E31" s="10" t="n">
        <f aca="false">C31+_xlfn.FORECAST.ETS.CONFINT(Data!B39,Data!$E$2:$E$36,Data!$B$2:$B$36,0.95,4)</f>
        <v>661.706934876801</v>
      </c>
      <c r="F31" s="9" t="n">
        <f aca="false">Data!E35</f>
        <v>554</v>
      </c>
      <c r="G31" s="10" t="n">
        <f aca="false">ABS(C31-B31)</f>
        <v>154.9898469647</v>
      </c>
      <c r="H31" s="11" t="n">
        <f aca="false">G31/B31</f>
        <v>0.378948281087286</v>
      </c>
      <c r="I31" s="10" t="n">
        <f aca="false">ABS(F31-B31)</f>
        <v>145</v>
      </c>
      <c r="J31" s="11" t="n">
        <f aca="false">I31/B31</f>
        <v>0.354523227383863</v>
      </c>
    </row>
    <row r="32" customFormat="false" ht="15" hidden="false" customHeight="false" outlineLevel="0" collapsed="false">
      <c r="A32" s="4" t="s">
        <v>51</v>
      </c>
      <c r="B32" s="9" t="n">
        <f aca="false">Data!E40</f>
        <v>479</v>
      </c>
      <c r="C32" s="10" t="n">
        <f aca="false">_xlfn.FORECAST.ETS(Data!B40,Data!$E$2:$E$36,Data!$B$2:$B$36,4)</f>
        <v>554.58172634362</v>
      </c>
      <c r="D32" s="10" t="n">
        <f aca="false">C32-_xlfn.FORECAST.ETS.CONFINT(Data!B40,Data!$E$2:$E$36,Data!$B$2:$B$36,0.95,4)</f>
        <v>440.416395928997</v>
      </c>
      <c r="E32" s="10" t="n">
        <f aca="false">C32+_xlfn.FORECAST.ETS.CONFINT(Data!B40,Data!$E$2:$E$36,Data!$B$2:$B$36,0.95,4)</f>
        <v>659.892795664028</v>
      </c>
      <c r="F32" s="9" t="n">
        <f aca="false">Data!E36</f>
        <v>540</v>
      </c>
      <c r="G32" s="10" t="n">
        <f aca="false">ABS(C32-B32)</f>
        <v>75.5817263436198</v>
      </c>
      <c r="H32" s="11" t="n">
        <f aca="false">G32/B32</f>
        <v>0.157790660425094</v>
      </c>
      <c r="I32" s="10" t="n">
        <f aca="false">ABS(F32-B32)</f>
        <v>61</v>
      </c>
      <c r="J32" s="11" t="n">
        <f aca="false">I32/B32</f>
        <v>0.127348643006263</v>
      </c>
    </row>
    <row r="33" customFormat="false" ht="15" hidden="false" customHeight="false" outlineLevel="0" collapsed="false">
      <c r="A33" s="4" t="s">
        <v>52</v>
      </c>
      <c r="B33" s="9" t="n">
        <f aca="false">Data!E41</f>
        <v>439</v>
      </c>
      <c r="C33" s="10" t="n">
        <f aca="false">_xlfn.FORECAST.ETS(Data!B41,Data!$E$2:$E$36,Data!$B$2:$B$36,4)</f>
        <v>546.894979353505</v>
      </c>
      <c r="D33" s="10" t="n">
        <f aca="false">C33-_xlfn.FORECAST.ETS.CONFINT(Data!B41,Data!$E$2:$E$36,Data!$B$2:$B$36,0.95,4)</f>
        <v>418.681557702727</v>
      </c>
      <c r="E33" s="10" t="n">
        <f aca="false">C33+_xlfn.FORECAST.ETS.CONFINT(Data!B41,Data!$E$2:$E$36,Data!$B$2:$B$36,0.95,4)</f>
        <v>679.41168910121</v>
      </c>
      <c r="F33" s="9" t="n">
        <f aca="false">Data!E33</f>
        <v>536</v>
      </c>
      <c r="G33" s="10" t="n">
        <f aca="false">ABS(C33-B33)</f>
        <v>107.894979353505</v>
      </c>
      <c r="H33" s="11" t="n">
        <f aca="false">G33/B33</f>
        <v>0.245774440440785</v>
      </c>
      <c r="I33" s="10" t="n">
        <f aca="false">ABS(F33-B33)</f>
        <v>97</v>
      </c>
      <c r="J33" s="11" t="n">
        <f aca="false">I33/B33</f>
        <v>0.220956719817768</v>
      </c>
    </row>
    <row r="34" customFormat="false" ht="15" hidden="false" customHeight="false" outlineLevel="0" collapsed="false">
      <c r="A34" s="4" t="s">
        <v>53</v>
      </c>
      <c r="B34" s="9" t="n">
        <f aca="false">Data!E42</f>
        <v>468</v>
      </c>
      <c r="C34" s="10" t="n">
        <f aca="false">_xlfn.FORECAST.ETS(Data!B42,Data!$E$2:$E$36,Data!$B$2:$B$36,4)</f>
        <v>540.154173720604</v>
      </c>
      <c r="D34" s="10" t="n">
        <f aca="false">C34-_xlfn.FORECAST.ETS.CONFINT(Data!B42,Data!$E$2:$E$36,Data!$B$2:$B$36,0.95,4)</f>
        <v>399.734206408794</v>
      </c>
      <c r="E34" s="10" t="n">
        <f aca="false">C34+_xlfn.FORECAST.ETS.CONFINT(Data!B42,Data!$E$2:$E$36,Data!$B$2:$B$36,0.95,4)</f>
        <v>686.504834145324</v>
      </c>
      <c r="F34" s="9" t="n">
        <f aca="false">Data!E34</f>
        <v>559</v>
      </c>
      <c r="G34" s="10" t="n">
        <f aca="false">ABS(C34-B34)</f>
        <v>72.1541737206042</v>
      </c>
      <c r="H34" s="11" t="n">
        <f aca="false">G34/B34</f>
        <v>0.154175584873086</v>
      </c>
      <c r="I34" s="10" t="n">
        <f aca="false">ABS(F34-B34)</f>
        <v>91</v>
      </c>
      <c r="J34" s="11" t="n">
        <f aca="false">I34/B34</f>
        <v>0.194444444444444</v>
      </c>
    </row>
    <row r="35" customFormat="false" ht="15" hidden="false" customHeight="false" outlineLevel="0" collapsed="false">
      <c r="A35" s="8" t="s">
        <v>64</v>
      </c>
      <c r="C35" s="8" t="s">
        <v>65</v>
      </c>
      <c r="D35" s="8" t="str">
        <f aca="false">SUMPRODUCT((B29:B34&gt;=D29:D34)*(B29:B34&lt;=E29:E34))&amp;" of 6"</f>
        <v>3 of 6</v>
      </c>
      <c r="G35" s="12" t="n">
        <f aca="false">AVERAGE(G29:G34)</f>
        <v>111.599972697689</v>
      </c>
      <c r="H35" s="13" t="n">
        <f aca="false">AVERAGE(H29:H34)</f>
        <v>0.263856820626936</v>
      </c>
      <c r="I35" s="12" t="n">
        <f aca="false">AVERAGE(I29:I34)</f>
        <v>114.166666666667</v>
      </c>
      <c r="J35" s="13" t="n">
        <f aca="false">AVERAGE(J29:J34)</f>
        <v>0.270976215761865</v>
      </c>
    </row>
    <row r="39" customFormat="false" ht="15" hidden="false" customHeight="false" outlineLevel="0" collapsed="false">
      <c r="A39" s="8" t="s">
        <v>12</v>
      </c>
    </row>
    <row r="40" customFormat="false" ht="30" hidden="false" customHeight="true" outlineLevel="0" collapsed="false">
      <c r="A40" s="3" t="s">
        <v>7</v>
      </c>
      <c r="B40" s="3" t="s">
        <v>55</v>
      </c>
      <c r="C40" s="3" t="s">
        <v>56</v>
      </c>
      <c r="D40" s="3" t="s">
        <v>57</v>
      </c>
      <c r="E40" s="3" t="s">
        <v>58</v>
      </c>
      <c r="F40" s="3" t="s">
        <v>59</v>
      </c>
      <c r="G40" s="3" t="s">
        <v>60</v>
      </c>
      <c r="H40" s="3" t="s">
        <v>61</v>
      </c>
      <c r="I40" s="3" t="s">
        <v>62</v>
      </c>
      <c r="J40" s="3" t="s">
        <v>63</v>
      </c>
    </row>
    <row r="41" customFormat="false" ht="15" hidden="false" customHeight="false" outlineLevel="0" collapsed="false">
      <c r="A41" s="4" t="s">
        <v>48</v>
      </c>
      <c r="B41" s="9" t="n">
        <f aca="false">Data!F37</f>
        <v>209</v>
      </c>
      <c r="C41" s="10" t="n">
        <f aca="false">_xlfn.FORECAST.ETS(Data!B37,Data!$F$2:$F$36,Data!$B$2:$B$36,4)</f>
        <v>218.125854177361</v>
      </c>
      <c r="D41" s="10" t="n">
        <f aca="false">C41-_xlfn.FORECAST.ETS.CONFINT(Data!B37,Data!$F$2:$F$36,Data!$B$2:$B$36,0.95,4)</f>
        <v>167.241371645209</v>
      </c>
      <c r="E41" s="10" t="n">
        <f aca="false">C41+_xlfn.FORECAST.ETS.CONFINT(Data!B37,Data!$F$2:$F$36,Data!$B$2:$B$36,0.95,4)</f>
        <v>261.716271222127</v>
      </c>
      <c r="F41" s="9" t="n">
        <f aca="false">Data!F33</f>
        <v>233</v>
      </c>
      <c r="G41" s="10" t="n">
        <f aca="false">ABS(C41-B41)</f>
        <v>9.12585417736062</v>
      </c>
      <c r="H41" s="11" t="n">
        <f aca="false">G41/B41</f>
        <v>0.043664374054357</v>
      </c>
      <c r="I41" s="10" t="n">
        <f aca="false">ABS(F41-B41)</f>
        <v>24</v>
      </c>
      <c r="J41" s="11" t="n">
        <f aca="false">I41/B41</f>
        <v>0.114832535885167</v>
      </c>
    </row>
    <row r="42" customFormat="false" ht="15" hidden="false" customHeight="false" outlineLevel="0" collapsed="false">
      <c r="A42" s="4" t="s">
        <v>49</v>
      </c>
      <c r="B42" s="9" t="n">
        <f aca="false">Data!F38</f>
        <v>174</v>
      </c>
      <c r="C42" s="10" t="n">
        <f aca="false">_xlfn.FORECAST.ETS(Data!B38,Data!$F$2:$F$36,Data!$B$2:$B$36,4)</f>
        <v>213.417021838169</v>
      </c>
      <c r="D42" s="10" t="n">
        <f aca="false">C42-_xlfn.FORECAST.ETS.CONFINT(Data!B38,Data!$F$2:$F$36,Data!$B$2:$B$36,0.95,4)</f>
        <v>163.688029168444</v>
      </c>
      <c r="E42" s="10" t="n">
        <f aca="false">C42+_xlfn.FORECAST.ETS.CONFINT(Data!B38,Data!$F$2:$F$36,Data!$B$2:$B$36,0.95,4)</f>
        <v>264.650459308053</v>
      </c>
      <c r="F42" s="9" t="n">
        <f aca="false">Data!F34</f>
        <v>229</v>
      </c>
      <c r="G42" s="10" t="n">
        <f aca="false">ABS(C42-B42)</f>
        <v>39.4170218381688</v>
      </c>
      <c r="H42" s="11" t="n">
        <f aca="false">G42/B42</f>
        <v>0.226534608265338</v>
      </c>
      <c r="I42" s="10" t="n">
        <f aca="false">ABS(F42-B42)</f>
        <v>55</v>
      </c>
      <c r="J42" s="11" t="n">
        <f aca="false">I42/B42</f>
        <v>0.316091954022989</v>
      </c>
    </row>
    <row r="43" customFormat="false" ht="15" hidden="false" customHeight="false" outlineLevel="0" collapsed="false">
      <c r="A43" s="4" t="s">
        <v>50</v>
      </c>
      <c r="B43" s="9" t="n">
        <f aca="false">Data!F39</f>
        <v>184</v>
      </c>
      <c r="C43" s="10" t="n">
        <f aca="false">_xlfn.FORECAST.ETS(Data!B39,Data!$F$2:$F$36,Data!$B$2:$B$36,4)</f>
        <v>260.864822010265</v>
      </c>
      <c r="D43" s="10" t="n">
        <f aca="false">C43-_xlfn.FORECAST.ETS.CONFINT(Data!B39,Data!$F$2:$F$36,Data!$B$2:$B$36,0.95,4)</f>
        <v>204.688515643088</v>
      </c>
      <c r="E43" s="10" t="n">
        <f aca="false">C43+_xlfn.FORECAST.ETS.CONFINT(Data!B39,Data!$F$2:$F$36,Data!$B$2:$B$36,0.95,4)</f>
        <v>316.685204474277</v>
      </c>
      <c r="F43" s="9" t="n">
        <f aca="false">Data!F35</f>
        <v>253</v>
      </c>
      <c r="G43" s="10" t="n">
        <f aca="false">ABS(C43-B43)</f>
        <v>76.8648220102653</v>
      </c>
      <c r="H43" s="11" t="n">
        <f aca="false">G43/B43</f>
        <v>0.417743597881877</v>
      </c>
      <c r="I43" s="10" t="n">
        <f aca="false">ABS(F43-B43)</f>
        <v>69</v>
      </c>
      <c r="J43" s="11" t="n">
        <f aca="false">I43/B43</f>
        <v>0.375</v>
      </c>
    </row>
    <row r="44" customFormat="false" ht="15" hidden="false" customHeight="false" outlineLevel="0" collapsed="false">
      <c r="A44" s="4" t="s">
        <v>51</v>
      </c>
      <c r="B44" s="9" t="n">
        <f aca="false">Data!F40</f>
        <v>262</v>
      </c>
      <c r="C44" s="10" t="n">
        <f aca="false">_xlfn.FORECAST.ETS(Data!B40,Data!$F$2:$F$36,Data!$B$2:$B$36,4)</f>
        <v>249.281596411292</v>
      </c>
      <c r="D44" s="10" t="n">
        <f aca="false">C44-_xlfn.FORECAST.ETS.CONFINT(Data!B40,Data!$F$2:$F$36,Data!$B$2:$B$36,0.95,4)</f>
        <v>182.829125044988</v>
      </c>
      <c r="E44" s="10" t="n">
        <f aca="false">C44+_xlfn.FORECAST.ETS.CONFINT(Data!B40,Data!$F$2:$F$36,Data!$B$2:$B$36,0.95,4)</f>
        <v>314.370470121463</v>
      </c>
      <c r="F44" s="9" t="n">
        <f aca="false">Data!F36</f>
        <v>251</v>
      </c>
      <c r="G44" s="10" t="n">
        <f aca="false">ABS(C44-B44)</f>
        <v>12.7184035887082</v>
      </c>
      <c r="H44" s="11" t="n">
        <f aca="false">G44/B44</f>
        <v>0.0485435251477411</v>
      </c>
      <c r="I44" s="10" t="n">
        <f aca="false">ABS(F44-B44)</f>
        <v>11</v>
      </c>
      <c r="J44" s="11" t="n">
        <f aca="false">I44/B44</f>
        <v>0.0419847328244275</v>
      </c>
    </row>
    <row r="45" customFormat="false" ht="15" hidden="false" customHeight="false" outlineLevel="0" collapsed="false">
      <c r="A45" s="4" t="s">
        <v>52</v>
      </c>
      <c r="B45" s="9" t="n">
        <f aca="false">Data!F41</f>
        <v>193</v>
      </c>
      <c r="C45" s="10" t="n">
        <f aca="false">_xlfn.FORECAST.ETS(Data!B41,Data!$F$2:$F$36,Data!$B$2:$B$36,4)</f>
        <v>216.740389038046</v>
      </c>
      <c r="D45" s="10" t="n">
        <f aca="false">C45-_xlfn.FORECAST.ETS.CONFINT(Data!B41,Data!$F$2:$F$36,Data!$B$2:$B$36,0.95,4)</f>
        <v>141.926481171985</v>
      </c>
      <c r="E45" s="10" t="n">
        <f aca="false">C45+_xlfn.FORECAST.ETS.CONFINT(Data!B41,Data!$F$2:$F$36,Data!$B$2:$B$36,0.95,4)</f>
        <v>293.539237164064</v>
      </c>
      <c r="F45" s="9" t="n">
        <f aca="false">Data!F33</f>
        <v>233</v>
      </c>
      <c r="G45" s="10" t="n">
        <f aca="false">ABS(C45-B45)</f>
        <v>23.740389038046</v>
      </c>
      <c r="H45" s="11" t="n">
        <f aca="false">G45/B45</f>
        <v>0.123007197088321</v>
      </c>
      <c r="I45" s="10" t="n">
        <f aca="false">ABS(F45-B45)</f>
        <v>40</v>
      </c>
      <c r="J45" s="11" t="n">
        <f aca="false">I45/B45</f>
        <v>0.207253886010363</v>
      </c>
    </row>
    <row r="46" customFormat="false" ht="15" hidden="false" customHeight="false" outlineLevel="0" collapsed="false">
      <c r="A46" s="4" t="s">
        <v>53</v>
      </c>
      <c r="B46" s="9" t="n">
        <f aca="false">Data!F42</f>
        <v>186</v>
      </c>
      <c r="C46" s="10" t="n">
        <f aca="false">_xlfn.FORECAST.ETS(Data!B42,Data!$F$2:$F$36,Data!$B$2:$B$36,4)</f>
        <v>212.031556698854</v>
      </c>
      <c r="D46" s="10" t="n">
        <f aca="false">C46-_xlfn.FORECAST.ETS.CONFINT(Data!B42,Data!$F$2:$F$36,Data!$B$2:$B$36,0.95,4)</f>
        <v>126.996085699351</v>
      </c>
      <c r="E46" s="10" t="n">
        <f aca="false">C46+_xlfn.FORECAST.ETS.CONFINT(Data!B42,Data!$F$2:$F$36,Data!$B$2:$B$36,0.95,4)</f>
        <v>296.013008892804</v>
      </c>
      <c r="F46" s="9" t="n">
        <f aca="false">Data!F34</f>
        <v>229</v>
      </c>
      <c r="G46" s="10" t="n">
        <f aca="false">ABS(C46-B46)</f>
        <v>26.0315566988542</v>
      </c>
      <c r="H46" s="11" t="n">
        <f aca="false">G46/B46</f>
        <v>0.139954605907818</v>
      </c>
      <c r="I46" s="10" t="n">
        <f aca="false">ABS(F46-B46)</f>
        <v>43</v>
      </c>
      <c r="J46" s="11" t="n">
        <f aca="false">I46/B46</f>
        <v>0.231182795698925</v>
      </c>
    </row>
    <row r="47" customFormat="false" ht="15" hidden="false" customHeight="false" outlineLevel="0" collapsed="false">
      <c r="A47" s="8" t="s">
        <v>64</v>
      </c>
      <c r="C47" s="8" t="s">
        <v>65</v>
      </c>
      <c r="D47" s="8" t="str">
        <f aca="false">SUMPRODUCT((B41:B46&gt;=D41:D46)*(B41:B46&lt;=E41:E46))&amp;" of 6"</f>
        <v>5 of 6</v>
      </c>
      <c r="G47" s="12" t="n">
        <f aca="false">AVERAGE(G41:G46)</f>
        <v>31.3163412252338</v>
      </c>
      <c r="H47" s="13" t="n">
        <f aca="false">AVERAGE(H41:H46)</f>
        <v>0.166574651390909</v>
      </c>
      <c r="I47" s="12" t="n">
        <f aca="false">AVERAGE(I41:I46)</f>
        <v>40.3333333333333</v>
      </c>
      <c r="J47" s="13" t="n">
        <f aca="false">AVERAGE(J41:J46)</f>
        <v>0.214390984073645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7" min="4" style="0" width="10"/>
  </cols>
  <sheetData>
    <row r="1" customFormat="false" ht="15" hidden="false" customHeight="false" outlineLevel="0" collapsed="false">
      <c r="A1" s="7" t="s">
        <v>66</v>
      </c>
    </row>
    <row r="3" customFormat="false" ht="15" hidden="false" customHeight="false" outlineLevel="0" collapsed="false">
      <c r="A3" s="8" t="s">
        <v>9</v>
      </c>
    </row>
    <row r="4" customFormat="false" ht="15" hidden="false" customHeight="false" outlineLevel="0" collapsed="false">
      <c r="A4" s="3" t="s">
        <v>7</v>
      </c>
      <c r="B4" s="3" t="s">
        <v>8</v>
      </c>
      <c r="C4" s="3" t="s">
        <v>67</v>
      </c>
      <c r="D4" s="3" t="s">
        <v>68</v>
      </c>
      <c r="E4" s="3" t="s">
        <v>69</v>
      </c>
      <c r="F4" s="3" t="s">
        <v>57</v>
      </c>
      <c r="G4" s="3" t="s">
        <v>58</v>
      </c>
    </row>
    <row r="5" customFormat="false" ht="15" hidden="false" customHeight="false" outlineLevel="0" collapsed="false">
      <c r="A5" s="4" t="s">
        <v>70</v>
      </c>
      <c r="B5" s="5" t="n">
        <f aca="false">DATE(2026,4,1)</f>
        <v>46113</v>
      </c>
      <c r="C5" s="10" t="n">
        <f aca="false">_xlfn.FORECAST.ETS(B5,Data!$C$2:$C$42,Data!$B$2:$B$42,4)</f>
        <v>435.468443525242</v>
      </c>
      <c r="D5" s="10" t="n">
        <f aca="false">C5-_xlfn.FORECAST.ETS.CONFINT(B5,Data!$C$2:$C$42,Data!$B$2:$B$42,0.8,4)</f>
        <v>364.102294194609</v>
      </c>
      <c r="E5" s="10" t="n">
        <f aca="false">C5+_xlfn.FORECAST.ETS.CONFINT(B5,Data!$C$2:$C$42,Data!$B$2:$B$42,0.8,4)</f>
        <v>506.32896365473</v>
      </c>
      <c r="F5" s="10" t="n">
        <f aca="false">C5-_xlfn.FORECAST.ETS.CONFINT(B5,Data!$C$2:$C$42,Data!$B$2:$B$42,0.95,4)</f>
        <v>316.404137251132</v>
      </c>
      <c r="G5" s="10" t="n">
        <f aca="false">C5+_xlfn.FORECAST.ETS.CONFINT(B5,Data!$C$2:$C$42,Data!$B$2:$B$42,0.95,4)</f>
        <v>552.95153218158</v>
      </c>
    </row>
    <row r="6" customFormat="false" ht="15" hidden="false" customHeight="false" outlineLevel="0" collapsed="false">
      <c r="A6" s="4" t="s">
        <v>71</v>
      </c>
      <c r="B6" s="5" t="n">
        <f aca="false">DATE(2026,7,1)</f>
        <v>46204</v>
      </c>
      <c r="C6" s="10" t="n">
        <f aca="false">_xlfn.FORECAST.ETS(B6,Data!$C$2:$C$42,Data!$B$2:$B$42,4)</f>
        <v>391.491102539385</v>
      </c>
      <c r="D6" s="10" t="n">
        <f aca="false">C6-_xlfn.FORECAST.ETS.CONFINT(B6,Data!$C$2:$C$42,Data!$B$2:$B$42,0.8,4)</f>
        <v>288.815137057799</v>
      </c>
      <c r="E6" s="10" t="n">
        <f aca="false">C6+_xlfn.FORECAST.ETS.CONFINT(B6,Data!$C$2:$C$42,Data!$B$2:$B$42,0.8,4)</f>
        <v>484.727650377884</v>
      </c>
      <c r="F6" s="10" t="n">
        <f aca="false">C6-_xlfn.FORECAST.ETS.CONFINT(B6,Data!$C$2:$C$42,Data!$B$2:$B$42,0.95,4)</f>
        <v>244.50678213303</v>
      </c>
      <c r="G6" s="10" t="n">
        <f aca="false">C6+_xlfn.FORECAST.ETS.CONFINT(B6,Data!$C$2:$C$42,Data!$B$2:$B$42,0.95,4)</f>
        <v>539.901203518805</v>
      </c>
    </row>
    <row r="7" customFormat="false" ht="15" hidden="false" customHeight="false" outlineLevel="0" collapsed="false">
      <c r="A7" s="4" t="s">
        <v>72</v>
      </c>
      <c r="B7" s="5" t="n">
        <f aca="false">DATE(2026,10,1)</f>
        <v>46296</v>
      </c>
      <c r="C7" s="10" t="n">
        <f aca="false">_xlfn.FORECAST.ETS(B7,Data!$C$2:$C$42,Data!$B$2:$B$42,4)</f>
        <v>403.094883816721</v>
      </c>
      <c r="D7" s="10" t="n">
        <f aca="false">C7-_xlfn.FORECAST.ETS.CONFINT(B7,Data!$C$2:$C$42,Data!$B$2:$B$42,0.8,4)</f>
        <v>281.420440053091</v>
      </c>
      <c r="E7" s="10" t="n">
        <f aca="false">C7+_xlfn.FORECAST.ETS.CONFINT(B7,Data!$C$2:$C$42,Data!$B$2:$B$42,0.8,4)</f>
        <v>524.160595757364</v>
      </c>
      <c r="F7" s="10" t="n">
        <f aca="false">C7-_xlfn.FORECAST.ETS.CONFINT(B7,Data!$C$2:$C$42,Data!$B$2:$B$42,0.95,4)</f>
        <v>230.634439225872</v>
      </c>
      <c r="G7" s="10" t="n">
        <f aca="false">C7+_xlfn.FORECAST.ETS.CONFINT(B7,Data!$C$2:$C$42,Data!$B$2:$B$42,0.95,4)</f>
        <v>589.919278268618</v>
      </c>
    </row>
    <row r="8" customFormat="false" ht="15" hidden="false" customHeight="false" outlineLevel="0" collapsed="false">
      <c r="A8" s="4" t="s">
        <v>73</v>
      </c>
      <c r="B8" s="5" t="n">
        <f aca="false">DATE(2027,1,1)</f>
        <v>46388</v>
      </c>
      <c r="C8" s="10" t="n">
        <f aca="false">_xlfn.FORECAST.ETS(B8,Data!$C$2:$C$42,Data!$B$2:$B$42,4)</f>
        <v>375.823174960828</v>
      </c>
      <c r="D8" s="10" t="n">
        <f aca="false">C8-_xlfn.FORECAST.ETS.CONFINT(B8,Data!$C$2:$C$42,Data!$B$2:$B$42,0.8,4)</f>
        <v>237.246122222757</v>
      </c>
      <c r="E8" s="10" t="n">
        <f aca="false">C8+_xlfn.FORECAST.ETS.CONFINT(B8,Data!$C$2:$C$42,Data!$B$2:$B$42,0.8,4)</f>
        <v>506.753290940964</v>
      </c>
      <c r="F8" s="10" t="n">
        <f aca="false">C8-_xlfn.FORECAST.ETS.CONFINT(B8,Data!$C$2:$C$42,Data!$B$2:$B$42,0.95,4)</f>
        <v>162.174934244626</v>
      </c>
      <c r="G8" s="10" t="n">
        <f aca="false">C8+_xlfn.FORECAST.ETS.CONFINT(B8,Data!$C$2:$C$42,Data!$B$2:$B$42,0.95,4)</f>
        <v>605.23715061451</v>
      </c>
    </row>
    <row r="9" customFormat="false" ht="15" hidden="false" customHeight="false" outlineLevel="0" collapsed="false">
      <c r="A9" s="4" t="s">
        <v>74</v>
      </c>
      <c r="B9" s="5" t="n">
        <f aca="false">DATE(2027,4,1)</f>
        <v>46478</v>
      </c>
      <c r="C9" s="10" t="n">
        <f aca="false">_xlfn.FORECAST.ETS(B9,Data!$C$2:$C$42,Data!$B$2:$B$42,4)</f>
        <v>422.595830079925</v>
      </c>
      <c r="D9" s="10" t="n">
        <f aca="false">C9-_xlfn.FORECAST.ETS.CONFINT(B9,Data!$C$2:$C$42,Data!$B$2:$B$42,0.8,4)</f>
        <v>260.67987265663</v>
      </c>
      <c r="E9" s="10" t="n">
        <f aca="false">C9+_xlfn.FORECAST.ETS.CONFINT(B9,Data!$C$2:$C$42,Data!$B$2:$B$42,0.8,4)</f>
        <v>592.367926351704</v>
      </c>
      <c r="F9" s="10" t="n">
        <f aca="false">C9-_xlfn.FORECAST.ETS.CONFINT(B9,Data!$C$2:$C$42,Data!$B$2:$B$42,0.95,4)</f>
        <v>175.172903298272</v>
      </c>
      <c r="G9" s="10" t="n">
        <f aca="false">C9+_xlfn.FORECAST.ETS.CONFINT(B9,Data!$C$2:$C$42,Data!$B$2:$B$42,0.95,4)</f>
        <v>677.385664204744</v>
      </c>
    </row>
    <row r="12" customFormat="false" ht="15" hidden="false" customHeight="false" outlineLevel="0" collapsed="false">
      <c r="A12" s="8" t="s">
        <v>10</v>
      </c>
    </row>
    <row r="13" customFormat="false" ht="15" hidden="false" customHeight="false" outlineLevel="0" collapsed="false">
      <c r="A13" s="3" t="s">
        <v>7</v>
      </c>
      <c r="B13" s="3" t="s">
        <v>8</v>
      </c>
      <c r="C13" s="3" t="s">
        <v>67</v>
      </c>
      <c r="D13" s="3" t="s">
        <v>68</v>
      </c>
      <c r="E13" s="3" t="s">
        <v>69</v>
      </c>
      <c r="F13" s="3" t="s">
        <v>57</v>
      </c>
      <c r="G13" s="3" t="s">
        <v>58</v>
      </c>
    </row>
    <row r="14" customFormat="false" ht="15" hidden="false" customHeight="false" outlineLevel="0" collapsed="false">
      <c r="A14" s="4" t="s">
        <v>70</v>
      </c>
      <c r="B14" s="5" t="n">
        <f aca="false">DATE(2026,4,1)</f>
        <v>46113</v>
      </c>
      <c r="C14" s="10" t="n">
        <f aca="false">_xlfn.FORECAST.ETS(B14,Data!$D$10:$D$42,Data!$B$10:$B$42,4)</f>
        <v>409.07813144103</v>
      </c>
      <c r="D14" s="10" t="n">
        <f aca="false">C14-_xlfn.FORECAST.ETS.CONFINT(B14,Data!$D$10:$D$42,Data!$B$10:$B$42,0.8,4)</f>
        <v>339.161843199972</v>
      </c>
      <c r="E14" s="10" t="n">
        <f aca="false">C14+_xlfn.FORECAST.ETS.CONFINT(B14,Data!$D$10:$D$42,Data!$B$10:$B$42,0.8,4)</f>
        <v>477.275923312852</v>
      </c>
      <c r="F14" s="10" t="n">
        <f aca="false">C14-_xlfn.FORECAST.ETS.CONFINT(B14,Data!$D$10:$D$42,Data!$B$10:$B$42,0.95,4)</f>
        <v>293.699579651187</v>
      </c>
      <c r="G14" s="10" t="n">
        <f aca="false">C14+_xlfn.FORECAST.ETS.CONFINT(B14,Data!$D$10:$D$42,Data!$B$10:$B$42,0.95,4)</f>
        <v>515.502241309726</v>
      </c>
    </row>
    <row r="15" customFormat="false" ht="15" hidden="false" customHeight="false" outlineLevel="0" collapsed="false">
      <c r="A15" s="4" t="s">
        <v>71</v>
      </c>
      <c r="B15" s="5" t="n">
        <f aca="false">DATE(2026,7,1)</f>
        <v>46204</v>
      </c>
      <c r="C15" s="10" t="n">
        <f aca="false">_xlfn.FORECAST.ETS(B15,Data!$D$10:$D$42,Data!$B$10:$B$42,4)</f>
        <v>383.024456810137</v>
      </c>
      <c r="D15" s="10" t="n">
        <f aca="false">C15-_xlfn.FORECAST.ETS.CONFINT(B15,Data!$D$10:$D$42,Data!$B$10:$B$42,0.8,4)</f>
        <v>303.663520668032</v>
      </c>
      <c r="E15" s="10" t="n">
        <f aca="false">C15+_xlfn.FORECAST.ETS.CONFINT(B15,Data!$D$10:$D$42,Data!$B$10:$B$42,0.8,4)</f>
        <v>461.404405177769</v>
      </c>
      <c r="F15" s="10" t="n">
        <f aca="false">C15-_xlfn.FORECAST.ETS.CONFINT(B15,Data!$D$10:$D$42,Data!$B$10:$B$42,0.95,4)</f>
        <v>256.61207060731</v>
      </c>
      <c r="G15" s="10" t="n">
        <f aca="false">C15+_xlfn.FORECAST.ETS.CONFINT(B15,Data!$D$10:$D$42,Data!$B$10:$B$42,0.95,4)</f>
        <v>517.482692641582</v>
      </c>
    </row>
    <row r="16" customFormat="false" ht="15" hidden="false" customHeight="false" outlineLevel="0" collapsed="false">
      <c r="A16" s="4" t="s">
        <v>72</v>
      </c>
      <c r="B16" s="5" t="n">
        <f aca="false">DATE(2026,10,1)</f>
        <v>46296</v>
      </c>
      <c r="C16" s="10" t="n">
        <f aca="false">_xlfn.FORECAST.ETS(B16,Data!$D$10:$D$42,Data!$B$10:$B$42,4)</f>
        <v>381.574564497906</v>
      </c>
      <c r="D16" s="10" t="n">
        <f aca="false">C16-_xlfn.FORECAST.ETS.CONFINT(B16,Data!$D$10:$D$42,Data!$B$10:$B$42,0.8,4)</f>
        <v>290.697539676722</v>
      </c>
      <c r="E16" s="10" t="n">
        <f aca="false">C16+_xlfn.FORECAST.ETS.CONFINT(B16,Data!$D$10:$D$42,Data!$B$10:$B$42,0.8,4)</f>
        <v>475.396329680793</v>
      </c>
      <c r="F16" s="10" t="n">
        <f aca="false">C16-_xlfn.FORECAST.ETS.CONFINT(B16,Data!$D$10:$D$42,Data!$B$10:$B$42,0.95,4)</f>
        <v>232.996166626701</v>
      </c>
      <c r="G16" s="10" t="n">
        <f aca="false">C16+_xlfn.FORECAST.ETS.CONFINT(B16,Data!$D$10:$D$42,Data!$B$10:$B$42,0.95,4)</f>
        <v>529.805267093573</v>
      </c>
    </row>
    <row r="17" customFormat="false" ht="15" hidden="false" customHeight="false" outlineLevel="0" collapsed="false">
      <c r="A17" s="4" t="s">
        <v>73</v>
      </c>
      <c r="B17" s="5" t="n">
        <f aca="false">DATE(2027,1,1)</f>
        <v>46388</v>
      </c>
      <c r="C17" s="10" t="n">
        <f aca="false">_xlfn.FORECAST.ETS(B17,Data!$D$10:$D$42,Data!$B$10:$B$42,4)</f>
        <v>390.972217549517</v>
      </c>
      <c r="D17" s="10" t="n">
        <f aca="false">C17-_xlfn.FORECAST.ETS.CONFINT(B17,Data!$D$10:$D$42,Data!$B$10:$B$42,0.8,4)</f>
        <v>290.601850769675</v>
      </c>
      <c r="E17" s="10" t="n">
        <f aca="false">C17+_xlfn.FORECAST.ETS.CONFINT(B17,Data!$D$10:$D$42,Data!$B$10:$B$42,0.8,4)</f>
        <v>492.759421913847</v>
      </c>
      <c r="F17" s="10" t="n">
        <f aca="false">C17-_xlfn.FORECAST.ETS.CONFINT(B17,Data!$D$10:$D$42,Data!$B$10:$B$42,0.95,4)</f>
        <v>231.811038677871</v>
      </c>
      <c r="G17" s="10" t="n">
        <f aca="false">C17+_xlfn.FORECAST.ETS.CONFINT(B17,Data!$D$10:$D$42,Data!$B$10:$B$42,0.95,4)</f>
        <v>553.63306020954</v>
      </c>
    </row>
    <row r="18" customFormat="false" ht="15" hidden="false" customHeight="false" outlineLevel="0" collapsed="false">
      <c r="A18" s="4" t="s">
        <v>74</v>
      </c>
      <c r="B18" s="5" t="n">
        <f aca="false">DATE(2027,4,1)</f>
        <v>46478</v>
      </c>
      <c r="C18" s="10" t="n">
        <f aca="false">_xlfn.FORECAST.ETS(B18,Data!$D$10:$D$42,Data!$B$10:$B$42,4)</f>
        <v>434.57813144103</v>
      </c>
      <c r="D18" s="10" t="n">
        <f aca="false">C18-_xlfn.FORECAST.ETS.CONFINT(B18,Data!$D$10:$D$42,Data!$B$10:$B$42,0.8,4)</f>
        <v>320.535402944784</v>
      </c>
      <c r="E18" s="10" t="n">
        <f aca="false">C18+_xlfn.FORECAST.ETS.CONFINT(B18,Data!$D$10:$D$42,Data!$B$10:$B$42,0.8,4)</f>
        <v>552.228750172025</v>
      </c>
      <c r="F18" s="10" t="n">
        <f aca="false">C18-_xlfn.FORECAST.ETS.CONFINT(B18,Data!$D$10:$D$42,Data!$B$10:$B$42,0.95,4)</f>
        <v>231.937093079217</v>
      </c>
      <c r="G18" s="10" t="n">
        <f aca="false">C18+_xlfn.FORECAST.ETS.CONFINT(B18,Data!$D$10:$D$42,Data!$B$10:$B$42,0.95,4)</f>
        <v>621.024056973464</v>
      </c>
    </row>
    <row r="21" customFormat="false" ht="15" hidden="false" customHeight="false" outlineLevel="0" collapsed="false">
      <c r="A21" s="8" t="s">
        <v>11</v>
      </c>
    </row>
    <row r="22" customFormat="false" ht="15" hidden="false" customHeight="false" outlineLevel="0" collapsed="false">
      <c r="A22" s="3" t="s">
        <v>7</v>
      </c>
      <c r="B22" s="3" t="s">
        <v>8</v>
      </c>
      <c r="C22" s="3" t="s">
        <v>67</v>
      </c>
      <c r="D22" s="3" t="s">
        <v>68</v>
      </c>
      <c r="E22" s="3" t="s">
        <v>69</v>
      </c>
      <c r="F22" s="3" t="s">
        <v>57</v>
      </c>
      <c r="G22" s="3" t="s">
        <v>58</v>
      </c>
    </row>
    <row r="23" customFormat="false" ht="15" hidden="false" customHeight="false" outlineLevel="0" collapsed="false">
      <c r="A23" s="4" t="s">
        <v>70</v>
      </c>
      <c r="B23" s="5" t="n">
        <f aca="false">DATE(2026,4,1)</f>
        <v>46113</v>
      </c>
      <c r="C23" s="10" t="n">
        <f aca="false">_xlfn.FORECAST.ETS(B23,Data!$E$2:$E$42,Data!$B$2:$B$42,4)</f>
        <v>494.736934620823</v>
      </c>
      <c r="D23" s="10" t="n">
        <f aca="false">C23-_xlfn.FORECAST.ETS.CONFINT(B23,Data!$E$2:$E$42,Data!$B$2:$B$42,0.8,4)</f>
        <v>447.105926608644</v>
      </c>
      <c r="E23" s="10" t="n">
        <f aca="false">C23+_xlfn.FORECAST.ETS.CONFINT(B23,Data!$E$2:$E$42,Data!$B$2:$B$42,0.8,4)</f>
        <v>544.196424309543</v>
      </c>
      <c r="F23" s="10" t="n">
        <f aca="false">C23-_xlfn.FORECAST.ETS.CONFINT(B23,Data!$E$2:$E$42,Data!$B$2:$B$42,0.95,4)</f>
        <v>414.308195969055</v>
      </c>
      <c r="G23" s="10" t="n">
        <f aca="false">C23+_xlfn.FORECAST.ETS.CONFINT(B23,Data!$E$2:$E$42,Data!$B$2:$B$42,0.95,4)</f>
        <v>577.915787990805</v>
      </c>
    </row>
    <row r="24" customFormat="false" ht="15" hidden="false" customHeight="false" outlineLevel="0" collapsed="false">
      <c r="A24" s="4" t="s">
        <v>71</v>
      </c>
      <c r="B24" s="5" t="n">
        <f aca="false">DATE(2026,7,1)</f>
        <v>46204</v>
      </c>
      <c r="C24" s="10" t="n">
        <f aca="false">_xlfn.FORECAST.ETS(B24,Data!$E$2:$E$42,Data!$B$2:$B$42,4)</f>
        <v>506.076401417952</v>
      </c>
      <c r="D24" s="10" t="n">
        <f aca="false">C24-_xlfn.FORECAST.ETS.CONFINT(B24,Data!$E$2:$E$42,Data!$B$2:$B$42,0.8,4)</f>
        <v>450.567986355385</v>
      </c>
      <c r="E24" s="10" t="n">
        <f aca="false">C24+_xlfn.FORECAST.ETS.CONFINT(B24,Data!$E$2:$E$42,Data!$B$2:$B$42,0.8,4)</f>
        <v>562.877833380854</v>
      </c>
      <c r="F24" s="10" t="n">
        <f aca="false">C24-_xlfn.FORECAST.ETS.CONFINT(B24,Data!$E$2:$E$42,Data!$B$2:$B$42,0.95,4)</f>
        <v>411.227769691183</v>
      </c>
      <c r="G24" s="10" t="n">
        <f aca="false">C24+_xlfn.FORECAST.ETS.CONFINT(B24,Data!$E$2:$E$42,Data!$B$2:$B$42,0.95,4)</f>
        <v>598.543986132624</v>
      </c>
    </row>
    <row r="25" customFormat="false" ht="15" hidden="false" customHeight="false" outlineLevel="0" collapsed="false">
      <c r="A25" s="4" t="s">
        <v>72</v>
      </c>
      <c r="B25" s="5" t="n">
        <f aca="false">DATE(2026,10,1)</f>
        <v>46296</v>
      </c>
      <c r="C25" s="10" t="n">
        <f aca="false">_xlfn.FORECAST.ETS(B25,Data!$E$2:$E$42,Data!$B$2:$B$42,4)</f>
        <v>459.545158002326</v>
      </c>
      <c r="D25" s="10" t="n">
        <f aca="false">C25-_xlfn.FORECAST.ETS.CONFINT(B25,Data!$E$2:$E$42,Data!$B$2:$B$42,0.8,4)</f>
        <v>390.969060696439</v>
      </c>
      <c r="E25" s="10" t="n">
        <f aca="false">C25+_xlfn.FORECAST.ETS.CONFINT(B25,Data!$E$2:$E$42,Data!$B$2:$B$42,0.8,4)</f>
        <v>528.398658272945</v>
      </c>
      <c r="F25" s="10" t="n">
        <f aca="false">C25-_xlfn.FORECAST.ETS.CONFINT(B25,Data!$E$2:$E$42,Data!$B$2:$B$42,0.95,4)</f>
        <v>357.052639043847</v>
      </c>
      <c r="G25" s="10" t="n">
        <f aca="false">C25+_xlfn.FORECAST.ETS.CONFINT(B25,Data!$E$2:$E$42,Data!$B$2:$B$42,0.95,4)</f>
        <v>557.088108794284</v>
      </c>
    </row>
    <row r="26" customFormat="false" ht="15" hidden="false" customHeight="false" outlineLevel="0" collapsed="false">
      <c r="A26" s="4" t="s">
        <v>73</v>
      </c>
      <c r="B26" s="5" t="n">
        <f aca="false">DATE(2027,1,1)</f>
        <v>46388</v>
      </c>
      <c r="C26" s="10" t="n">
        <f aca="false">_xlfn.FORECAST.ETS(B26,Data!$E$2:$E$42,Data!$B$2:$B$42,4)</f>
        <v>462.989457195264</v>
      </c>
      <c r="D26" s="10" t="n">
        <f aca="false">C26-_xlfn.FORECAST.ETS.CONFINT(B26,Data!$E$2:$E$42,Data!$B$2:$B$42,0.8,4)</f>
        <v>390.670097036803</v>
      </c>
      <c r="E26" s="10" t="n">
        <f aca="false">C26+_xlfn.FORECAST.ETS.CONFINT(B26,Data!$E$2:$E$42,Data!$B$2:$B$42,0.8,4)</f>
        <v>536.8034915832</v>
      </c>
      <c r="F26" s="10" t="n">
        <f aca="false">C26-_xlfn.FORECAST.ETS.CONFINT(B26,Data!$E$2:$E$42,Data!$B$2:$B$42,0.95,4)</f>
        <v>343.378124135716</v>
      </c>
      <c r="G26" s="10" t="n">
        <f aca="false">C26+_xlfn.FORECAST.ETS.CONFINT(B26,Data!$E$2:$E$42,Data!$B$2:$B$42,0.95,4)</f>
        <v>580.511518557118</v>
      </c>
    </row>
    <row r="27" customFormat="false" ht="15" hidden="false" customHeight="false" outlineLevel="0" collapsed="false">
      <c r="A27" s="4" t="s">
        <v>74</v>
      </c>
      <c r="B27" s="5" t="n">
        <f aca="false">DATE(2027,4,1)</f>
        <v>46478</v>
      </c>
      <c r="C27" s="10" t="n">
        <f aca="false">_xlfn.FORECAST.ETS(B27,Data!$E$2:$E$42,Data!$B$2:$B$42,4)</f>
        <v>496.648112826915</v>
      </c>
      <c r="D27" s="10" t="n">
        <f aca="false">C27-_xlfn.FORECAST.ETS.CONFINT(B27,Data!$E$2:$E$42,Data!$B$2:$B$42,0.8,4)</f>
        <v>402.529595030153</v>
      </c>
      <c r="E27" s="10" t="n">
        <f aca="false">C27+_xlfn.FORECAST.ETS.CONFINT(B27,Data!$E$2:$E$42,Data!$B$2:$B$42,0.8,4)</f>
        <v>585.473713224503</v>
      </c>
      <c r="F27" s="10" t="n">
        <f aca="false">C27-_xlfn.FORECAST.ETS.CONFINT(B27,Data!$E$2:$E$42,Data!$B$2:$B$42,0.95,4)</f>
        <v>350.06359268149</v>
      </c>
      <c r="G27" s="10" t="n">
        <f aca="false">C27+_xlfn.FORECAST.ETS.CONFINT(B27,Data!$E$2:$E$42,Data!$B$2:$B$42,0.95,4)</f>
        <v>633.705028015435</v>
      </c>
    </row>
    <row r="30" customFormat="false" ht="15" hidden="false" customHeight="false" outlineLevel="0" collapsed="false">
      <c r="A30" s="8" t="s">
        <v>12</v>
      </c>
    </row>
    <row r="31" customFormat="false" ht="15" hidden="false" customHeight="false" outlineLevel="0" collapsed="false">
      <c r="A31" s="3" t="s">
        <v>7</v>
      </c>
      <c r="B31" s="3" t="s">
        <v>8</v>
      </c>
      <c r="C31" s="3" t="s">
        <v>67</v>
      </c>
      <c r="D31" s="3" t="s">
        <v>68</v>
      </c>
      <c r="E31" s="3" t="s">
        <v>69</v>
      </c>
      <c r="F31" s="3" t="s">
        <v>57</v>
      </c>
      <c r="G31" s="3" t="s">
        <v>58</v>
      </c>
    </row>
    <row r="32" customFormat="false" ht="15" hidden="false" customHeight="false" outlineLevel="0" collapsed="false">
      <c r="A32" s="4" t="s">
        <v>70</v>
      </c>
      <c r="B32" s="5" t="n">
        <f aca="false">DATE(2026,4,1)</f>
        <v>46113</v>
      </c>
      <c r="C32" s="10" t="n">
        <f aca="false">_xlfn.FORECAST.ETS(B32,Data!$F$2:$F$42,Data!$B$2:$B$42,4)</f>
        <v>220.822090861119</v>
      </c>
      <c r="D32" s="10" t="n">
        <f aca="false">C32-_xlfn.FORECAST.ETS.CONFINT(B32,Data!$F$2:$F$42,Data!$B$2:$B$42,0.8,4)</f>
        <v>193.731276190659</v>
      </c>
      <c r="E32" s="10" t="n">
        <f aca="false">C32+_xlfn.FORECAST.ETS.CONFINT(B32,Data!$F$2:$F$42,Data!$B$2:$B$42,0.8,4)</f>
        <v>249.28631327717</v>
      </c>
      <c r="F32" s="10" t="n">
        <f aca="false">C32-_xlfn.FORECAST.ETS.CONFINT(B32,Data!$F$2:$F$42,Data!$B$2:$B$42,0.95,4)</f>
        <v>172.963063877883</v>
      </c>
      <c r="G32" s="10" t="n">
        <f aca="false">C32+_xlfn.FORECAST.ETS.CONFINT(B32,Data!$F$2:$F$42,Data!$B$2:$B$42,0.95,4)</f>
        <v>271.141628633889</v>
      </c>
    </row>
    <row r="33" customFormat="false" ht="15" hidden="false" customHeight="false" outlineLevel="0" collapsed="false">
      <c r="A33" s="4" t="s">
        <v>71</v>
      </c>
      <c r="B33" s="5" t="n">
        <f aca="false">DATE(2026,7,1)</f>
        <v>46204</v>
      </c>
      <c r="C33" s="10" t="n">
        <f aca="false">_xlfn.FORECAST.ETS(B33,Data!$F$2:$F$42,Data!$B$2:$B$42,4)</f>
        <v>234.735847802072</v>
      </c>
      <c r="D33" s="10" t="n">
        <f aca="false">C33-_xlfn.FORECAST.ETS.CONFINT(B33,Data!$F$2:$F$42,Data!$B$2:$B$42,0.8,4)</f>
        <v>203.648137947024</v>
      </c>
      <c r="E33" s="10" t="n">
        <f aca="false">C33+_xlfn.FORECAST.ETS.CONFINT(B33,Data!$F$2:$F$42,Data!$B$2:$B$42,0.8,4)</f>
        <v>268.75240687953</v>
      </c>
      <c r="F33" s="10" t="n">
        <f aca="false">C33-_xlfn.FORECAST.ETS.CONFINT(B33,Data!$F$2:$F$42,Data!$B$2:$B$42,0.95,4)</f>
        <v>179.722447084815</v>
      </c>
      <c r="G33" s="10" t="n">
        <f aca="false">C33+_xlfn.FORECAST.ETS.CONFINT(B33,Data!$F$2:$F$42,Data!$B$2:$B$42,0.95,4)</f>
        <v>287.762140515748</v>
      </c>
    </row>
    <row r="34" customFormat="false" ht="15" hidden="false" customHeight="false" outlineLevel="0" collapsed="false">
      <c r="A34" s="4" t="s">
        <v>72</v>
      </c>
      <c r="B34" s="5" t="n">
        <f aca="false">DATE(2026,10,1)</f>
        <v>46296</v>
      </c>
      <c r="C34" s="10" t="n">
        <f aca="false">_xlfn.FORECAST.ETS(B34,Data!$F$2:$F$42,Data!$B$2:$B$42,4)</f>
        <v>187.546627439365</v>
      </c>
      <c r="D34" s="10" t="n">
        <f aca="false">C34-_xlfn.FORECAST.ETS.CONFINT(B34,Data!$F$2:$F$42,Data!$B$2:$B$42,0.8,4)</f>
        <v>149.370304941249</v>
      </c>
      <c r="E34" s="10" t="n">
        <f aca="false">C34+_xlfn.FORECAST.ETS.CONFINT(B34,Data!$F$2:$F$42,Data!$B$2:$B$42,0.8,4)</f>
        <v>223.941638203078</v>
      </c>
      <c r="F34" s="10" t="n">
        <f aca="false">C34-_xlfn.FORECAST.ETS.CONFINT(B34,Data!$F$2:$F$42,Data!$B$2:$B$42,0.95,4)</f>
        <v>124.760746127831</v>
      </c>
      <c r="G34" s="10" t="n">
        <f aca="false">C34+_xlfn.FORECAST.ETS.CONFINT(B34,Data!$F$2:$F$42,Data!$B$2:$B$42,0.95,4)</f>
        <v>245.721808003853</v>
      </c>
    </row>
    <row r="35" customFormat="false" ht="15" hidden="false" customHeight="false" outlineLevel="0" collapsed="false">
      <c r="A35" s="4" t="s">
        <v>73</v>
      </c>
      <c r="B35" s="5" t="n">
        <f aca="false">DATE(2027,1,1)</f>
        <v>46388</v>
      </c>
      <c r="C35" s="10" t="n">
        <f aca="false">_xlfn.FORECAST.ETS(B35,Data!$F$2:$F$42,Data!$B$2:$B$42,4)</f>
        <v>179.683030458344</v>
      </c>
      <c r="D35" s="10" t="n">
        <f aca="false">C35-_xlfn.FORECAST.ETS.CONFINT(B35,Data!$F$2:$F$42,Data!$B$2:$B$42,0.8,4)</f>
        <v>138.447154106579</v>
      </c>
      <c r="E35" s="10" t="n">
        <f aca="false">C35+_xlfn.FORECAST.ETS.CONFINT(B35,Data!$F$2:$F$42,Data!$B$2:$B$42,0.8,4)</f>
        <v>220.749536120168</v>
      </c>
      <c r="F35" s="10" t="n">
        <f aca="false">C35-_xlfn.FORECAST.ETS.CONFINT(B35,Data!$F$2:$F$42,Data!$B$2:$B$42,0.95,4)</f>
        <v>111.311258120959</v>
      </c>
      <c r="G35" s="10" t="n">
        <f aca="false">C35+_xlfn.FORECAST.ETS.CONFINT(B35,Data!$F$2:$F$42,Data!$B$2:$B$42,0.95,4)</f>
        <v>249.827298772592</v>
      </c>
    </row>
    <row r="36" customFormat="false" ht="15" hidden="false" customHeight="false" outlineLevel="0" collapsed="false">
      <c r="A36" s="4" t="s">
        <v>74</v>
      </c>
      <c r="B36" s="5" t="n">
        <f aca="false">DATE(2027,4,1)</f>
        <v>46478</v>
      </c>
      <c r="C36" s="10" t="n">
        <f aca="false">_xlfn.FORECAST.ETS(B36,Data!$F$2:$F$42,Data!$B$2:$B$42,4)</f>
        <v>214.134126146723</v>
      </c>
      <c r="D36" s="10" t="n">
        <f aca="false">C36-_xlfn.FORECAST.ETS.CONFINT(B36,Data!$F$2:$F$42,Data!$B$2:$B$42,0.8,4)</f>
        <v>162.89115043439</v>
      </c>
      <c r="E36" s="10" t="n">
        <f aca="false">C36+_xlfn.FORECAST.ETS.CONFINT(B36,Data!$F$2:$F$42,Data!$B$2:$B$42,0.8,4)</f>
        <v>266.327187746772</v>
      </c>
      <c r="F36" s="10" t="n">
        <f aca="false">C36-_xlfn.FORECAST.ETS.CONFINT(B36,Data!$F$2:$F$42,Data!$B$2:$B$42,0.95,4)</f>
        <v>132.124970630637</v>
      </c>
      <c r="G36" s="10" t="n">
        <f aca="false">C36+_xlfn.FORECAST.ETS.CONFINT(B36,Data!$F$2:$F$42,Data!$B$2:$B$42,0.95,4)</f>
        <v>299.819684822584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2026-10-25T22:39:34Z</dcterms:created>
  <dc:creator>openpyxl</dc:creator>
  <dc:description/>
  <dc:language>en-US</dc:language>
  <cp:lastModifiedBy/>
  <dcterms:modified xsi:type="dcterms:W3CDTF">2026-10-25T22:39:34Z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